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umulative" sheetId="1" state="visible" r:id="rId3"/>
  </sheets>
  <definedNames>
    <definedName function="false" hidden="false" localSheetId="0" name="_xlnm.Print_Titles" vbProcedure="false">Cumulative!$1:$1</definedName>
    <definedName function="false" hidden="true" localSheetId="0" name="_xlnm._FilterDatabase" vbProcedure="false">Cumulative!$B$1:$M$185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<sst xmlns="http://schemas.openxmlformats.org/spreadsheetml/2006/main" count="181" uniqueCount="13">
  <si>
    <t xml:space="preserve">Last Name</t>
  </si>
  <si>
    <t xml:space="preserve">First Name</t>
  </si>
  <si>
    <t xml:space="preserve">Violation</t>
  </si>
  <si>
    <t xml:space="preserve">Year</t>
  </si>
  <si>
    <t xml:space="preserve">Resolution</t>
  </si>
  <si>
    <t xml:space="preserve">Closed</t>
  </si>
  <si>
    <t xml:space="preserve">Open</t>
  </si>
  <si>
    <t xml:space="preserve">Blank</t>
  </si>
  <si>
    <t xml:space="preserve">A</t>
  </si>
  <si>
    <t xml:space="preserve">closed</t>
  </si>
  <si>
    <t xml:space="preserve">B</t>
  </si>
  <si>
    <t xml:space="preserve">open</t>
  </si>
  <si>
    <t xml:space="preserve">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</si>
</sst>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12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 Unicode MS"/>
      <family val="2"/>
    </font>
    <font>
      <b val="true"/>
      <sz val="12"/>
      <color theme="1"/>
      <name val="Calibri"/>
      <family val="2"/>
      <charset val="1"/>
    </font>
    <font>
      <b val="true"/>
      <sz val="22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2"/>
      <color theme="1"/>
      <name val="Arial Unicode MS"/>
      <family val="2"/>
    </font>
    <font>
      <b val="true"/>
      <sz val="16"/>
      <name val="Arial Unicode MS"/>
      <family val="2"/>
    </font>
    <font>
      <b val="true"/>
      <sz val="16"/>
      <color theme="1"/>
      <name val="Calibri"/>
      <family val="2"/>
      <charset val="1"/>
    </font>
    <font>
      <sz val="12"/>
      <color theme="1"/>
      <name val="Arial Unicode MS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5999"/>
        <bgColor rgb="FFF8CBAD"/>
      </patternFill>
    </fill>
    <fill>
      <patternFill patternType="solid">
        <fgColor theme="3" tint="0.7999"/>
        <bgColor rgb="FFD0CECE"/>
      </patternFill>
    </fill>
    <fill>
      <patternFill patternType="solid">
        <fgColor theme="4" tint="0.5999"/>
        <bgColor rgb="FF9DC3E6"/>
      </patternFill>
    </fill>
    <fill>
      <patternFill patternType="solid">
        <fgColor theme="6" tint="0.3999"/>
        <bgColor rgb="FFD0CECE"/>
      </patternFill>
    </fill>
    <fill>
      <patternFill patternType="solid">
        <fgColor theme="9" tint="0.3999"/>
        <bgColor rgb="FF92D050"/>
      </patternFill>
    </fill>
    <fill>
      <patternFill patternType="solid">
        <fgColor theme="2" tint="-0.1"/>
        <bgColor rgb="FFC9C9C9"/>
      </patternFill>
    </fill>
    <fill>
      <patternFill patternType="solid">
        <fgColor theme="8" tint="0.3999"/>
        <bgColor rgb="FFB4C7E7"/>
      </patternFill>
    </fill>
    <fill>
      <patternFill patternType="solid">
        <fgColor rgb="FF00B0F0"/>
        <bgColor rgb="FF33CC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3" borderId="3" xfId="19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6" borderId="1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9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9DC3E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C9C9C9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B4C7E7"/>
          <bgColor rgb="FF000000"/>
        </patternFill>
      </fill>
    </dxf>
    <dxf>
      <fill>
        <patternFill patternType="solid">
          <fgColor rgb="FFD6DCE5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FFF00"/>
        </patternFill>
      </fill>
    </dxf>
    <dxf>
      <fill>
        <patternFill>
          <bgColor theme="5" tint="0.599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D0CECE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6DCE5"/>
      <rgbColor rgb="FFFFE699"/>
      <rgbColor rgb="FF9DC3E6"/>
      <rgbColor rgb="FFFF99CC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5"/>
  <sheetViews>
    <sheetView showFormulas="false" showGridLines="true" showRowColHeaders="true" showZeros="true" rightToLeft="false" tabSelected="true" showOutlineSymbols="true" defaultGridColor="true" view="normal" topLeftCell="B1" colorId="64" zoomScale="90" zoomScaleNormal="90" zoomScalePageLayoutView="100" workbookViewId="0">
      <pane xSplit="2" ySplit="11" topLeftCell="D30" activePane="bottomRight" state="frozen"/>
      <selection pane="topLeft" activeCell="B1" activeCellId="0" sqref="B1"/>
      <selection pane="topRight" activeCell="D1" activeCellId="0" sqref="D1"/>
      <selection pane="bottomLeft" activeCell="B30" activeCellId="0" sqref="B30"/>
      <selection pane="bottomRight" activeCell="E8" activeCellId="0" sqref="E8"/>
    </sheetView>
  </sheetViews>
  <sheetFormatPr defaultColWidth="7.89453125" defaultRowHeight="15" customHeight="false" zeroHeight="false" outlineLevelRow="1" outlineLevelCol="0"/>
  <cols>
    <col collapsed="false" customWidth="true" hidden="true" outlineLevel="0" max="1" min="1" style="0" width="5.2"/>
    <col collapsed="false" customWidth="true" hidden="false" outlineLevel="0" max="2" min="2" style="0" width="17.93"/>
    <col collapsed="false" customWidth="true" hidden="false" outlineLevel="0" max="3" min="3" style="0" width="21.71"/>
    <col collapsed="false" customWidth="true" hidden="false" outlineLevel="0" max="4" min="4" style="1" width="11.44"/>
    <col collapsed="false" customWidth="true" hidden="false" outlineLevel="0" max="5" min="5" style="2" width="25.21"/>
    <col collapsed="false" customWidth="true" hidden="false" outlineLevel="0" max="6" min="6" style="2" width="11.83"/>
    <col collapsed="false" customWidth="true" hidden="false" outlineLevel="0" max="7" min="7" style="0" width="16.12"/>
    <col collapsed="false" customWidth="true" hidden="false" outlineLevel="0" max="8" min="8" style="0" width="9.74"/>
    <col collapsed="false" customWidth="true" hidden="false" outlineLevel="0" max="9" min="9" style="0" width="11.57"/>
    <col collapsed="false" customWidth="true" hidden="false" outlineLevel="0" max="10" min="10" style="0" width="20.93"/>
    <col collapsed="false" customWidth="true" hidden="false" outlineLevel="0" max="11" min="11" style="0" width="11.05"/>
    <col collapsed="false" customWidth="true" hidden="false" outlineLevel="0" max="13" min="13" style="0" width="8.7"/>
  </cols>
  <sheetData>
    <row r="1" s="3" customFormat="true" ht="54.75" hidden="false" customHeight="true" outlineLevel="0" collapsed="false">
      <c r="B1" s="4" t="s">
        <v>0</v>
      </c>
      <c r="C1" s="4" t="s">
        <v>1</v>
      </c>
      <c r="D1" s="5" t="n">
        <f aca="false">SUBTOTAL(102,D14:D185)</f>
        <v>170</v>
      </c>
      <c r="E1" s="6" t="s">
        <v>2</v>
      </c>
      <c r="F1" s="7" t="n">
        <f aca="false">F2/H1</f>
        <v>0</v>
      </c>
      <c r="G1" s="8" t="s">
        <v>3</v>
      </c>
      <c r="H1" s="4" t="n">
        <f aca="false">SUM(H2:H12)</f>
        <v>170</v>
      </c>
      <c r="I1" s="4"/>
      <c r="J1" s="9" t="s">
        <v>4</v>
      </c>
      <c r="K1" s="9" t="n">
        <f aca="false">SUM(K2:K4)</f>
        <v>170</v>
      </c>
    </row>
    <row r="2" customFormat="false" ht="24.75" hidden="false" customHeight="true" outlineLevel="1" collapsed="false">
      <c r="B2" s="10"/>
      <c r="C2" s="10"/>
      <c r="D2" s="11"/>
      <c r="E2" s="12"/>
      <c r="F2" s="13" t="n">
        <f aca="false">COUNTIF(F14:F9694,"registration")</f>
        <v>0</v>
      </c>
      <c r="G2" s="14" t="n">
        <v>2013</v>
      </c>
      <c r="H2" s="15" t="n">
        <f aca="false">COUNTIF(G14:G9694,"2013")</f>
        <v>2</v>
      </c>
      <c r="I2" s="16" t="n">
        <f aca="false">COUNTIFS($G$14:$G$185,G2,$J$14:$J$185,"Open")</f>
        <v>0</v>
      </c>
      <c r="J2" s="17" t="s">
        <v>5</v>
      </c>
      <c r="K2" s="17" t="n">
        <f aca="false">COUNTIF(J14:J701,"Closed")</f>
        <v>130</v>
      </c>
      <c r="M2" s="18"/>
    </row>
    <row r="3" customFormat="false" ht="18" hidden="false" customHeight="true" outlineLevel="1" collapsed="false">
      <c r="B3" s="10"/>
      <c r="C3" s="10"/>
      <c r="D3" s="19"/>
      <c r="E3" s="20"/>
      <c r="F3" s="21" t="n">
        <f aca="false">COUNTIF(F14:F9694,"voting")</f>
        <v>0</v>
      </c>
      <c r="G3" s="22" t="n">
        <v>2014</v>
      </c>
      <c r="H3" s="23" t="n">
        <f aca="false">COUNTIF(G14:G9695,"2014")</f>
        <v>15</v>
      </c>
      <c r="I3" s="24" t="n">
        <f aca="false">COUNTIFS($G$14:$G$185,G3,$J$14:$J$185,"Open")</f>
        <v>0</v>
      </c>
      <c r="J3" s="25" t="s">
        <v>6</v>
      </c>
      <c r="K3" s="25" t="n">
        <f aca="false">COUNTIF(J14:J702,"Open")</f>
        <v>40</v>
      </c>
    </row>
    <row r="4" customFormat="false" ht="21" hidden="false" customHeight="true" outlineLevel="1" collapsed="false">
      <c r="B4" s="10"/>
      <c r="C4" s="10"/>
      <c r="D4" s="26"/>
      <c r="E4" s="27"/>
      <c r="F4" s="28" t="n">
        <f aca="false">F3/H1</f>
        <v>0</v>
      </c>
      <c r="G4" s="14" t="n">
        <v>2015</v>
      </c>
      <c r="H4" s="15" t="n">
        <f aca="false">COUNTIF($G$14:$G$9696,"2015")</f>
        <v>0</v>
      </c>
      <c r="I4" s="24" t="n">
        <f aca="false">COUNTIFS($G$14:$G$185,G4,$J$14:$J$185,"Open")</f>
        <v>0</v>
      </c>
      <c r="J4" s="29" t="s">
        <v>7</v>
      </c>
      <c r="K4" s="29" t="n">
        <f aca="false">COUNTIF(J14:J703,"na")</f>
        <v>0</v>
      </c>
    </row>
    <row r="5" customFormat="false" ht="15" hidden="false" customHeight="true" outlineLevel="1" collapsed="false">
      <c r="B5" s="10"/>
      <c r="C5" s="10"/>
      <c r="D5" s="26"/>
      <c r="E5" s="30"/>
      <c r="F5" s="31" t="n">
        <f aca="false">COUNTIF(F14:F9694,"both")</f>
        <v>0</v>
      </c>
      <c r="G5" s="22" t="n">
        <v>2016</v>
      </c>
      <c r="H5" s="23" t="n">
        <f aca="false">COUNTIF($G$14:$G$9696,"2016")</f>
        <v>38</v>
      </c>
      <c r="I5" s="24" t="n">
        <f aca="false">COUNTIFS($G$14:$G$185,G5,$J$14:$J$185,"Open")</f>
        <v>2</v>
      </c>
      <c r="J5" s="32"/>
      <c r="K5" s="17" t="n">
        <f aca="false">SUM(K2:K4)</f>
        <v>170</v>
      </c>
    </row>
    <row r="6" customFormat="false" ht="18" hidden="false" customHeight="true" outlineLevel="1" collapsed="false">
      <c r="B6" s="10"/>
      <c r="C6" s="10"/>
      <c r="D6" s="33"/>
      <c r="E6" s="34"/>
      <c r="F6" s="35" t="n">
        <f aca="false">F5/H1</f>
        <v>0</v>
      </c>
      <c r="G6" s="14" t="n">
        <v>2017</v>
      </c>
      <c r="H6" s="15" t="n">
        <f aca="false">COUNTIF($G$14:$G$9696,"2017")</f>
        <v>11</v>
      </c>
      <c r="I6" s="24" t="n">
        <f aca="false">COUNTIFS($G$14:$G$185,G6,$J$14:$J$185,"Open")</f>
        <v>0</v>
      </c>
    </row>
    <row r="7" customFormat="false" ht="15" hidden="false" customHeight="true" outlineLevel="1" collapsed="false">
      <c r="B7" s="10"/>
      <c r="C7" s="10"/>
      <c r="D7" s="33"/>
      <c r="E7" s="34"/>
      <c r="F7" s="36" t="n">
        <f aca="false">SUM(F2,F3,F5)</f>
        <v>0</v>
      </c>
      <c r="G7" s="23" t="n">
        <v>2018</v>
      </c>
      <c r="H7" s="23" t="n">
        <f aca="false">COUNTIF($G$14:$G$9696,"2018")</f>
        <v>43</v>
      </c>
      <c r="I7" s="24" t="n">
        <f aca="false">COUNTIFS($G$14:$G$185,G7,$J$14:$J$185,"Open")</f>
        <v>0</v>
      </c>
      <c r="J7" s="37"/>
      <c r="K7" s="37"/>
    </row>
    <row r="8" customFormat="false" ht="15" hidden="false" customHeight="true" outlineLevel="1" collapsed="false">
      <c r="B8" s="10"/>
      <c r="C8" s="10"/>
      <c r="D8" s="33"/>
      <c r="E8" s="34"/>
      <c r="F8" s="36"/>
      <c r="G8" s="15" t="n">
        <v>2019</v>
      </c>
      <c r="H8" s="15" t="n">
        <f aca="false">COUNTIF($G$14:$G$9696,"2019")</f>
        <v>7</v>
      </c>
      <c r="I8" s="24" t="n">
        <f aca="false">COUNTIFS($G$14:$G$185,G8,$J$14:$J$185,"Open")</f>
        <v>1</v>
      </c>
      <c r="J8" s="37"/>
      <c r="K8" s="37"/>
    </row>
    <row r="9" customFormat="false" ht="15" hidden="false" customHeight="true" outlineLevel="1" collapsed="false">
      <c r="B9" s="10"/>
      <c r="C9" s="10"/>
      <c r="D9" s="33"/>
      <c r="E9" s="34"/>
      <c r="F9" s="36"/>
      <c r="G9" s="23" t="n">
        <v>2020</v>
      </c>
      <c r="H9" s="23" t="n">
        <f aca="false">COUNTIF($G$14:$G$9696,"2020")</f>
        <v>39</v>
      </c>
      <c r="I9" s="24" t="n">
        <f aca="false">COUNTIFS($G$14:$G$185,G9,$J$14:$J$185,"Open")</f>
        <v>26</v>
      </c>
      <c r="J9" s="37"/>
      <c r="K9" s="37"/>
    </row>
    <row r="10" customFormat="false" ht="15" hidden="false" customHeight="true" outlineLevel="1" collapsed="false">
      <c r="B10" s="10"/>
      <c r="C10" s="10"/>
      <c r="D10" s="38"/>
      <c r="E10" s="34"/>
      <c r="F10" s="38"/>
      <c r="G10" s="15" t="n">
        <v>2021</v>
      </c>
      <c r="H10" s="15" t="n">
        <f aca="false">COUNTIF($G$14:$G$9696,"2021")</f>
        <v>13</v>
      </c>
      <c r="I10" s="24" t="n">
        <f aca="false">COUNTIFS($G$14:$G$185,G10,$J$14:$J$185,"Open")</f>
        <v>9</v>
      </c>
      <c r="J10" s="37"/>
      <c r="K10" s="37"/>
    </row>
    <row r="11" customFormat="false" ht="15" hidden="false" customHeight="true" outlineLevel="1" collapsed="false">
      <c r="B11" s="10"/>
      <c r="C11" s="10"/>
      <c r="D11" s="38"/>
      <c r="E11" s="39"/>
      <c r="F11" s="38"/>
      <c r="G11" s="40" t="n">
        <v>2022</v>
      </c>
      <c r="H11" s="15" t="n">
        <f aca="false">COUNTIF($G$14:$G$9696,"2022")</f>
        <v>2</v>
      </c>
      <c r="I11" s="24" t="n">
        <f aca="false">COUNTIFS($G$14:$G$185,G11,$J$14:$J$185,"Open")</f>
        <v>2</v>
      </c>
    </row>
    <row r="12" customFormat="false" ht="15" hidden="false" customHeight="true" outlineLevel="0" collapsed="false">
      <c r="B12" s="41"/>
      <c r="C12" s="41"/>
      <c r="D12" s="38"/>
      <c r="E12" s="41"/>
      <c r="F12" s="41"/>
      <c r="G12" s="42"/>
      <c r="H12" s="23"/>
      <c r="I12" s="23"/>
    </row>
    <row r="13" customFormat="false" ht="21" hidden="false" customHeight="true" outlineLevel="0" collapsed="false">
      <c r="A13" s="43" t="s">
        <v>8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</row>
    <row r="14" customFormat="false" ht="15" hidden="false" customHeight="true" outlineLevel="1" collapsed="false">
      <c r="B14" s="44"/>
      <c r="C14" s="44"/>
      <c r="D14" s="45" t="n">
        <v>1</v>
      </c>
      <c r="E14" s="46"/>
      <c r="F14" s="46"/>
      <c r="G14" s="45" t="n">
        <v>2018</v>
      </c>
      <c r="H14" s="45"/>
      <c r="I14" s="45"/>
      <c r="J14" s="47" t="s">
        <v>5</v>
      </c>
      <c r="K14" s="48"/>
    </row>
    <row r="15" customFormat="false" ht="15" hidden="false" customHeight="true" outlineLevel="1" collapsed="false">
      <c r="B15" s="44"/>
      <c r="C15" s="44"/>
      <c r="D15" s="45" t="n">
        <v>1</v>
      </c>
      <c r="E15" s="46"/>
      <c r="F15" s="46"/>
      <c r="G15" s="45" t="n">
        <v>2021</v>
      </c>
      <c r="H15" s="45"/>
      <c r="I15" s="45"/>
      <c r="J15" s="47" t="s">
        <v>6</v>
      </c>
      <c r="K15" s="48"/>
    </row>
    <row r="16" customFormat="false" ht="15" hidden="false" customHeight="true" outlineLevel="1" collapsed="false">
      <c r="B16" s="44"/>
      <c r="C16" s="44"/>
      <c r="D16" s="45" t="n">
        <v>1</v>
      </c>
      <c r="E16" s="46"/>
      <c r="F16" s="49"/>
      <c r="G16" s="45" t="n">
        <v>2018</v>
      </c>
      <c r="H16" s="45"/>
      <c r="I16" s="45"/>
      <c r="J16" s="47" t="s">
        <v>5</v>
      </c>
      <c r="K16" s="48"/>
    </row>
    <row r="17" customFormat="false" ht="15" hidden="false" customHeight="true" outlineLevel="1" collapsed="false">
      <c r="B17" s="44"/>
      <c r="C17" s="44"/>
      <c r="D17" s="45" t="n">
        <v>1</v>
      </c>
      <c r="E17" s="46"/>
      <c r="F17" s="46"/>
      <c r="G17" s="45" t="n">
        <v>2020</v>
      </c>
      <c r="H17" s="45"/>
      <c r="I17" s="45"/>
      <c r="J17" s="47" t="s">
        <v>5</v>
      </c>
      <c r="K17" s="48"/>
    </row>
    <row r="18" customFormat="false" ht="26.25" hidden="false" customHeight="true" outlineLevel="1" collapsed="false">
      <c r="B18" s="44"/>
      <c r="C18" s="44"/>
      <c r="D18" s="45" t="n">
        <v>1</v>
      </c>
      <c r="E18" s="46"/>
      <c r="F18" s="46"/>
      <c r="G18" s="45" t="n">
        <v>2018</v>
      </c>
      <c r="H18" s="45"/>
      <c r="I18" s="50"/>
      <c r="J18" s="47" t="s">
        <v>5</v>
      </c>
      <c r="K18" s="48"/>
    </row>
    <row r="19" customFormat="false" ht="26.25" hidden="false" customHeight="true" outlineLevel="1" collapsed="false">
      <c r="B19" s="44"/>
      <c r="C19" s="44"/>
      <c r="D19" s="45" t="n">
        <v>1</v>
      </c>
      <c r="E19" s="46"/>
      <c r="F19" s="46"/>
      <c r="G19" s="45" t="n">
        <v>2021</v>
      </c>
      <c r="H19" s="45"/>
      <c r="I19" s="50"/>
      <c r="J19" s="47" t="s">
        <v>6</v>
      </c>
      <c r="K19" s="48"/>
    </row>
    <row r="20" customFormat="false" ht="15" hidden="false" customHeight="true" outlineLevel="1" collapsed="false">
      <c r="B20" s="44"/>
      <c r="C20" s="44"/>
      <c r="D20" s="45" t="n">
        <v>1</v>
      </c>
      <c r="E20" s="46"/>
      <c r="F20" s="49"/>
      <c r="G20" s="45" t="n">
        <v>2016</v>
      </c>
      <c r="H20" s="45"/>
      <c r="I20" s="45"/>
      <c r="J20" s="47" t="s">
        <v>5</v>
      </c>
      <c r="K20" s="48"/>
    </row>
    <row r="21" customFormat="false" ht="15" hidden="false" customHeight="true" outlineLevel="1" collapsed="false">
      <c r="B21" s="44"/>
      <c r="C21" s="44"/>
      <c r="D21" s="45" t="n">
        <v>1</v>
      </c>
      <c r="E21" s="46"/>
      <c r="F21" s="46"/>
      <c r="G21" s="45" t="n">
        <v>2020</v>
      </c>
      <c r="H21" s="45"/>
      <c r="I21" s="45"/>
      <c r="J21" s="47" t="s">
        <v>5</v>
      </c>
      <c r="K21" s="51"/>
    </row>
    <row r="22" customFormat="false" ht="28.5" hidden="false" customHeight="true" outlineLevel="1" collapsed="false">
      <c r="B22" s="52"/>
      <c r="C22" s="52"/>
      <c r="D22" s="53" t="n">
        <v>1</v>
      </c>
      <c r="E22" s="54"/>
      <c r="F22" s="54"/>
      <c r="G22" s="53" t="n">
        <v>2017</v>
      </c>
      <c r="H22" s="53"/>
      <c r="I22" s="53"/>
      <c r="J22" s="55" t="s">
        <v>5</v>
      </c>
      <c r="K22" s="56"/>
    </row>
    <row r="23" customFormat="false" ht="28.5" hidden="false" customHeight="true" outlineLevel="1" collapsed="false">
      <c r="B23" s="57"/>
      <c r="C23" s="57"/>
      <c r="D23" s="58" t="n">
        <v>1</v>
      </c>
      <c r="E23" s="59"/>
      <c r="F23" s="60"/>
      <c r="G23" s="58" t="n">
        <v>2020</v>
      </c>
      <c r="H23" s="58"/>
      <c r="I23" s="58"/>
      <c r="J23" s="61" t="s">
        <v>6</v>
      </c>
      <c r="K23" s="56"/>
    </row>
    <row r="24" customFormat="false" ht="28.5" hidden="false" customHeight="true" outlineLevel="1" collapsed="false">
      <c r="B24" s="57"/>
      <c r="C24" s="57"/>
      <c r="D24" s="58" t="n">
        <v>1</v>
      </c>
      <c r="E24" s="59"/>
      <c r="F24" s="60"/>
      <c r="G24" s="58" t="n">
        <v>2020</v>
      </c>
      <c r="H24" s="58"/>
      <c r="I24" s="58"/>
      <c r="J24" s="61" t="s">
        <v>6</v>
      </c>
      <c r="K24" s="56"/>
    </row>
    <row r="25" customFormat="false" ht="15" hidden="false" customHeight="true" outlineLevel="1" collapsed="false">
      <c r="B25" s="52"/>
      <c r="C25" s="52"/>
      <c r="D25" s="53" t="n">
        <v>1</v>
      </c>
      <c r="E25" s="54"/>
      <c r="F25" s="49"/>
      <c r="G25" s="53" t="n">
        <v>2018</v>
      </c>
      <c r="H25" s="53"/>
      <c r="I25" s="53"/>
      <c r="J25" s="47" t="s">
        <v>5</v>
      </c>
      <c r="K25" s="56"/>
    </row>
    <row r="26" customFormat="false" ht="15" hidden="false" customHeight="true" outlineLevel="1" collapsed="false">
      <c r="B26" s="57"/>
      <c r="C26" s="57"/>
      <c r="D26" s="58" t="n">
        <v>1</v>
      </c>
      <c r="E26" s="59"/>
      <c r="F26" s="62"/>
      <c r="G26" s="58" t="n">
        <v>2020</v>
      </c>
      <c r="H26" s="58"/>
      <c r="I26" s="58"/>
      <c r="J26" s="47" t="s">
        <v>6</v>
      </c>
      <c r="K26" s="56"/>
    </row>
    <row r="27" customFormat="false" ht="15" hidden="false" customHeight="true" outlineLevel="1" collapsed="false">
      <c r="B27" s="52"/>
      <c r="C27" s="52"/>
      <c r="D27" s="53" t="n">
        <v>1</v>
      </c>
      <c r="E27" s="54"/>
      <c r="F27" s="49"/>
      <c r="G27" s="53" t="n">
        <v>2018</v>
      </c>
      <c r="H27" s="53"/>
      <c r="I27" s="53"/>
      <c r="J27" s="55" t="s">
        <v>5</v>
      </c>
      <c r="K27" s="56"/>
    </row>
    <row r="28" customFormat="false" ht="15" hidden="false" customHeight="true" outlineLevel="1" collapsed="false">
      <c r="B28" s="52"/>
      <c r="C28" s="52"/>
      <c r="D28" s="53" t="n">
        <v>1</v>
      </c>
      <c r="E28" s="54"/>
      <c r="F28" s="46"/>
      <c r="G28" s="53" t="n">
        <v>2018</v>
      </c>
      <c r="H28" s="53"/>
      <c r="I28" s="53"/>
      <c r="J28" s="55" t="s">
        <v>5</v>
      </c>
      <c r="K28" s="56"/>
    </row>
    <row r="29" customFormat="false" ht="15" hidden="false" customHeight="true" outlineLevel="1" collapsed="false">
      <c r="B29" s="52"/>
      <c r="C29" s="52"/>
      <c r="D29" s="53" t="n">
        <v>1</v>
      </c>
      <c r="E29" s="54"/>
      <c r="F29" s="54"/>
      <c r="G29" s="53" t="n">
        <v>2018</v>
      </c>
      <c r="H29" s="53"/>
      <c r="I29" s="53"/>
      <c r="J29" s="63" t="s">
        <v>5</v>
      </c>
      <c r="K29" s="64"/>
    </row>
    <row r="30" customFormat="false" ht="15" hidden="false" customHeight="true" outlineLevel="1" collapsed="false">
      <c r="B30" s="52"/>
      <c r="C30" s="52"/>
      <c r="D30" s="53" t="n">
        <v>1</v>
      </c>
      <c r="E30" s="54"/>
      <c r="F30" s="54"/>
      <c r="G30" s="53" t="n">
        <v>2020</v>
      </c>
      <c r="H30" s="53"/>
      <c r="I30" s="53"/>
      <c r="J30" s="65" t="s">
        <v>5</v>
      </c>
      <c r="K30" s="64"/>
    </row>
    <row r="31" customFormat="false" ht="15" hidden="false" customHeight="true" outlineLevel="1" collapsed="false">
      <c r="B31" s="52"/>
      <c r="C31" s="52"/>
      <c r="D31" s="53" t="n">
        <v>1</v>
      </c>
      <c r="E31" s="54"/>
      <c r="F31" s="54"/>
      <c r="G31" s="53" t="n">
        <v>2014</v>
      </c>
      <c r="H31" s="53"/>
      <c r="I31" s="53"/>
      <c r="J31" s="47" t="s">
        <v>5</v>
      </c>
      <c r="K31" s="64"/>
    </row>
    <row r="32" customFormat="false" ht="15" hidden="false" customHeight="true" outlineLevel="1" collapsed="false">
      <c r="B32" s="52"/>
      <c r="C32" s="52"/>
      <c r="D32" s="53" t="n">
        <v>1</v>
      </c>
      <c r="E32" s="54"/>
      <c r="F32" s="49"/>
      <c r="G32" s="45" t="n">
        <v>2018</v>
      </c>
      <c r="H32" s="45"/>
      <c r="I32" s="53"/>
      <c r="J32" s="66" t="s">
        <v>5</v>
      </c>
      <c r="K32" s="64"/>
    </row>
    <row r="33" customFormat="false" ht="44.25" hidden="false" customHeight="true" outlineLevel="1" collapsed="false">
      <c r="B33" s="52"/>
      <c r="C33" s="52"/>
      <c r="D33" s="53" t="n">
        <v>1</v>
      </c>
      <c r="E33" s="54"/>
      <c r="F33" s="46"/>
      <c r="G33" s="45" t="n">
        <v>2018</v>
      </c>
      <c r="H33" s="45"/>
      <c r="I33" s="45"/>
      <c r="J33" s="65" t="s">
        <v>5</v>
      </c>
      <c r="K33" s="64"/>
    </row>
    <row r="34" customFormat="false" ht="15" hidden="false" customHeight="true" outlineLevel="1" collapsed="false">
      <c r="B34" s="52"/>
      <c r="C34" s="52"/>
      <c r="D34" s="53" t="n">
        <v>1</v>
      </c>
      <c r="E34" s="54"/>
      <c r="F34" s="46"/>
      <c r="G34" s="45" t="n">
        <v>2018</v>
      </c>
      <c r="H34" s="45"/>
      <c r="I34" s="45"/>
      <c r="J34" s="66" t="s">
        <v>5</v>
      </c>
      <c r="K34" s="64"/>
    </row>
    <row r="35" customFormat="false" ht="31.5" hidden="false" customHeight="true" outlineLevel="1" collapsed="false">
      <c r="B35" s="52"/>
      <c r="C35" s="52"/>
      <c r="D35" s="53" t="n">
        <v>1</v>
      </c>
      <c r="E35" s="54"/>
      <c r="F35" s="54"/>
      <c r="G35" s="45" t="n">
        <v>2014</v>
      </c>
      <c r="H35" s="45"/>
      <c r="I35" s="45"/>
      <c r="J35" s="47" t="s">
        <v>5</v>
      </c>
      <c r="K35" s="56"/>
    </row>
    <row r="36" customFormat="false" ht="15" hidden="false" customHeight="true" outlineLevel="1" collapsed="false">
      <c r="B36" s="52"/>
      <c r="C36" s="52"/>
      <c r="D36" s="53" t="n">
        <v>1</v>
      </c>
      <c r="E36" s="54"/>
      <c r="F36" s="49"/>
      <c r="G36" s="45" t="n">
        <v>2016</v>
      </c>
      <c r="H36" s="45"/>
      <c r="I36" s="45"/>
      <c r="J36" s="47" t="s">
        <v>5</v>
      </c>
      <c r="K36" s="56"/>
    </row>
    <row r="37" customFormat="false" ht="15" hidden="false" customHeight="true" outlineLevel="1" collapsed="false">
      <c r="B37" s="52"/>
      <c r="C37" s="52"/>
      <c r="D37" s="53" t="n">
        <v>1</v>
      </c>
      <c r="E37" s="54"/>
      <c r="F37" s="49"/>
      <c r="G37" s="45" t="n">
        <v>2020</v>
      </c>
      <c r="H37" s="45"/>
      <c r="I37" s="45"/>
      <c r="J37" s="47" t="s">
        <v>6</v>
      </c>
      <c r="K37" s="56"/>
    </row>
    <row r="38" customFormat="false" ht="15" hidden="false" customHeight="true" outlineLevel="1" collapsed="false">
      <c r="B38" s="52"/>
      <c r="C38" s="52"/>
      <c r="D38" s="53" t="n">
        <v>1</v>
      </c>
      <c r="E38" s="54"/>
      <c r="F38" s="49"/>
      <c r="G38" s="45" t="n">
        <v>2021</v>
      </c>
      <c r="H38" s="45"/>
      <c r="I38" s="45"/>
      <c r="J38" s="47" t="s">
        <v>6</v>
      </c>
      <c r="K38" s="56"/>
    </row>
    <row r="39" customFormat="false" ht="15" hidden="false" customHeight="true" outlineLevel="1" collapsed="false">
      <c r="B39" s="52"/>
      <c r="C39" s="52"/>
      <c r="D39" s="53" t="n">
        <v>1</v>
      </c>
      <c r="E39" s="54"/>
      <c r="F39" s="49"/>
      <c r="G39" s="45" t="n">
        <v>2016</v>
      </c>
      <c r="H39" s="45"/>
      <c r="I39" s="45"/>
      <c r="J39" s="47" t="s">
        <v>5</v>
      </c>
      <c r="K39" s="56"/>
    </row>
    <row r="40" customFormat="false" ht="15" hidden="false" customHeight="true" outlineLevel="1" collapsed="false">
      <c r="B40" s="52"/>
      <c r="C40" s="52"/>
      <c r="D40" s="53" t="n">
        <v>1</v>
      </c>
      <c r="E40" s="54"/>
      <c r="F40" s="54"/>
      <c r="G40" s="53" t="n">
        <v>2016</v>
      </c>
      <c r="H40" s="53"/>
      <c r="I40" s="53"/>
      <c r="J40" s="47" t="s">
        <v>5</v>
      </c>
      <c r="K40" s="56"/>
    </row>
    <row r="41" customFormat="false" ht="15" hidden="false" customHeight="true" outlineLevel="1" collapsed="false">
      <c r="B41" s="57"/>
      <c r="C41" s="57"/>
      <c r="D41" s="58" t="n">
        <v>1</v>
      </c>
      <c r="E41" s="59"/>
      <c r="F41" s="60"/>
      <c r="G41" s="58" t="n">
        <v>2020</v>
      </c>
      <c r="H41" s="67"/>
      <c r="I41" s="67"/>
      <c r="J41" s="47" t="s">
        <v>6</v>
      </c>
      <c r="K41" s="56"/>
    </row>
    <row r="42" customFormat="false" ht="15" hidden="false" customHeight="true" outlineLevel="1" collapsed="false">
      <c r="B42" s="37"/>
      <c r="C42" s="37"/>
      <c r="D42" s="53" t="n">
        <v>1</v>
      </c>
      <c r="E42" s="68"/>
      <c r="F42" s="46"/>
      <c r="G42" s="53" t="n">
        <v>2016</v>
      </c>
      <c r="H42" s="45"/>
      <c r="I42" s="45"/>
      <c r="J42" s="47" t="s">
        <v>5</v>
      </c>
      <c r="K42" s="69"/>
    </row>
    <row r="43" customFormat="false" ht="15" hidden="false" customHeight="true" outlineLevel="1" collapsed="false">
      <c r="B43" s="37"/>
      <c r="C43" s="37"/>
      <c r="D43" s="53" t="n">
        <v>1</v>
      </c>
      <c r="E43" s="68"/>
      <c r="F43" s="46"/>
      <c r="G43" s="45" t="n">
        <v>2020</v>
      </c>
      <c r="H43" s="45"/>
      <c r="I43" s="45"/>
      <c r="J43" s="47" t="s">
        <v>9</v>
      </c>
      <c r="K43" s="69"/>
    </row>
    <row r="44" customFormat="false" ht="15" hidden="false" customHeight="true" outlineLevel="1" collapsed="false">
      <c r="B44" s="52"/>
      <c r="C44" s="52"/>
      <c r="D44" s="53" t="n">
        <v>1</v>
      </c>
      <c r="E44" s="54"/>
      <c r="F44" s="49"/>
      <c r="G44" s="45" t="n">
        <v>2014</v>
      </c>
      <c r="H44" s="45"/>
      <c r="I44" s="45"/>
      <c r="J44" s="47" t="s">
        <v>5</v>
      </c>
      <c r="K44" s="56"/>
    </row>
    <row r="45" customFormat="false" ht="15" hidden="false" customHeight="true" outlineLevel="1" collapsed="false">
      <c r="B45" s="37"/>
      <c r="C45" s="37"/>
      <c r="D45" s="53" t="n">
        <v>1</v>
      </c>
      <c r="E45" s="68"/>
      <c r="F45" s="46"/>
      <c r="G45" s="45" t="n">
        <v>2016</v>
      </c>
      <c r="H45" s="45"/>
      <c r="I45" s="45"/>
      <c r="J45" s="47" t="s">
        <v>5</v>
      </c>
      <c r="K45" s="69"/>
    </row>
    <row r="46" customFormat="false" ht="15" hidden="false" customHeight="true" outlineLevel="1" collapsed="false">
      <c r="B46" s="37"/>
      <c r="C46" s="37"/>
      <c r="D46" s="53" t="n">
        <v>1</v>
      </c>
      <c r="E46" s="68"/>
      <c r="F46" s="49"/>
      <c r="G46" s="45" t="n">
        <v>2018</v>
      </c>
      <c r="H46" s="45"/>
      <c r="I46" s="45"/>
      <c r="J46" s="70" t="s">
        <v>5</v>
      </c>
      <c r="K46" s="69"/>
    </row>
    <row r="47" customFormat="false" ht="15" hidden="false" customHeight="true" outlineLevel="1" collapsed="false">
      <c r="B47" s="37"/>
      <c r="C47" s="37"/>
      <c r="D47" s="53" t="n">
        <v>1</v>
      </c>
      <c r="E47" s="68"/>
      <c r="F47" s="49"/>
      <c r="G47" s="45" t="n">
        <v>2020</v>
      </c>
      <c r="H47" s="45"/>
      <c r="I47" s="45"/>
      <c r="J47" s="47" t="s">
        <v>9</v>
      </c>
      <c r="K47" s="69"/>
    </row>
    <row r="48" customFormat="false" ht="15" hidden="false" customHeight="true" outlineLevel="1" collapsed="false">
      <c r="B48" s="37"/>
      <c r="C48" s="37"/>
      <c r="D48" s="53" t="n">
        <v>1</v>
      </c>
      <c r="E48" s="68"/>
      <c r="F48" s="46"/>
      <c r="G48" s="53" t="n">
        <v>2016</v>
      </c>
      <c r="H48" s="53"/>
      <c r="I48" s="53"/>
      <c r="J48" s="47" t="s">
        <v>5</v>
      </c>
      <c r="K48" s="69"/>
    </row>
    <row r="49" customFormat="false" ht="15" hidden="false" customHeight="true" outlineLevel="1" collapsed="false">
      <c r="B49" s="37"/>
      <c r="C49" s="37"/>
      <c r="D49" s="53" t="n">
        <v>1</v>
      </c>
      <c r="E49" s="68"/>
      <c r="F49" s="54"/>
      <c r="G49" s="53" t="n">
        <v>2018</v>
      </c>
      <c r="H49" s="53"/>
      <c r="I49" s="53"/>
      <c r="J49" s="70" t="s">
        <v>5</v>
      </c>
      <c r="K49" s="69"/>
    </row>
    <row r="50" customFormat="false" ht="15" hidden="false" customHeight="true" outlineLevel="1" collapsed="false">
      <c r="B50" s="37"/>
      <c r="C50" s="37"/>
      <c r="D50" s="53" t="n">
        <v>1</v>
      </c>
      <c r="E50" s="68"/>
      <c r="F50" s="54"/>
      <c r="G50" s="53" t="n">
        <v>2021</v>
      </c>
      <c r="H50" s="53"/>
      <c r="I50" s="53"/>
      <c r="J50" s="70" t="s">
        <v>6</v>
      </c>
      <c r="K50" s="69"/>
    </row>
    <row r="51" customFormat="false" ht="15" hidden="false" customHeight="true" outlineLevel="1" collapsed="false">
      <c r="B51" s="37"/>
      <c r="C51" s="37"/>
      <c r="D51" s="53" t="n">
        <v>1</v>
      </c>
      <c r="E51" s="68"/>
      <c r="F51" s="54"/>
      <c r="G51" s="53" t="n">
        <v>2018</v>
      </c>
      <c r="H51" s="53"/>
      <c r="I51" s="53"/>
      <c r="J51" s="70" t="s">
        <v>5</v>
      </c>
      <c r="K51" s="69"/>
    </row>
    <row r="52" customFormat="false" ht="21.75" hidden="false" customHeight="true" outlineLevel="1" collapsed="false">
      <c r="B52" s="37"/>
      <c r="C52" s="37"/>
      <c r="D52" s="53" t="n">
        <v>1</v>
      </c>
      <c r="E52" s="68"/>
      <c r="F52" s="49"/>
      <c r="G52" s="53" t="n">
        <v>2018</v>
      </c>
      <c r="H52" s="53"/>
      <c r="I52" s="53"/>
      <c r="J52" s="47" t="s">
        <v>5</v>
      </c>
      <c r="K52" s="69"/>
    </row>
    <row r="53" customFormat="false" ht="15" hidden="false" customHeight="true" outlineLevel="1" collapsed="false">
      <c r="B53" s="37"/>
      <c r="C53" s="37"/>
      <c r="D53" s="53" t="n">
        <v>1</v>
      </c>
      <c r="E53" s="68"/>
      <c r="F53" s="46"/>
      <c r="G53" s="53" t="n">
        <v>2016</v>
      </c>
      <c r="H53" s="53"/>
      <c r="I53" s="53"/>
      <c r="J53" s="47" t="s">
        <v>5</v>
      </c>
      <c r="K53" s="69"/>
    </row>
    <row r="54" customFormat="false" ht="21" hidden="false" customHeight="true" outlineLevel="0" collapsed="false">
      <c r="A54" s="43" t="s">
        <v>10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</row>
    <row r="55" customFormat="false" ht="26.25" hidden="false" customHeight="true" outlineLevel="1" collapsed="false">
      <c r="B55" s="37"/>
      <c r="C55" s="37"/>
      <c r="D55" s="53" t="n">
        <v>1</v>
      </c>
      <c r="E55" s="68"/>
      <c r="F55" s="68"/>
      <c r="G55" s="53" t="n">
        <v>2021</v>
      </c>
      <c r="H55" s="53"/>
      <c r="I55" s="53"/>
      <c r="J55" s="47" t="s">
        <v>9</v>
      </c>
      <c r="K55" s="69"/>
    </row>
    <row r="56" customFormat="false" ht="26.25" hidden="false" customHeight="true" outlineLevel="1" collapsed="false">
      <c r="B56" s="37"/>
      <c r="C56" s="37"/>
      <c r="D56" s="53" t="n">
        <v>1</v>
      </c>
      <c r="E56" s="68"/>
      <c r="F56" s="68"/>
      <c r="G56" s="53" t="n">
        <v>2016</v>
      </c>
      <c r="H56" s="53"/>
      <c r="I56" s="53"/>
      <c r="J56" s="47" t="s">
        <v>5</v>
      </c>
      <c r="K56" s="69"/>
    </row>
    <row r="57" customFormat="false" ht="20.25" hidden="false" customHeight="true" outlineLevel="1" collapsed="false">
      <c r="B57" s="52"/>
      <c r="C57" s="52"/>
      <c r="D57" s="53" t="n">
        <v>1</v>
      </c>
      <c r="E57" s="54"/>
      <c r="F57" s="54"/>
      <c r="G57" s="53" t="n">
        <v>2014</v>
      </c>
      <c r="H57" s="53"/>
      <c r="I57" s="53"/>
      <c r="J57" s="47" t="s">
        <v>5</v>
      </c>
      <c r="K57" s="56"/>
    </row>
    <row r="58" customFormat="false" ht="20.25" hidden="false" customHeight="true" outlineLevel="1" collapsed="false">
      <c r="B58" s="57"/>
      <c r="C58" s="57"/>
      <c r="D58" s="58" t="n">
        <v>1</v>
      </c>
      <c r="E58" s="59"/>
      <c r="F58" s="59"/>
      <c r="G58" s="58" t="n">
        <v>2020</v>
      </c>
      <c r="H58" s="58"/>
      <c r="I58" s="58"/>
      <c r="J58" s="47" t="s">
        <v>6</v>
      </c>
      <c r="K58" s="56"/>
    </row>
    <row r="59" customFormat="false" ht="15" hidden="false" customHeight="true" outlineLevel="1" collapsed="false">
      <c r="B59" s="52"/>
      <c r="C59" s="52"/>
      <c r="D59" s="53" t="n">
        <v>1</v>
      </c>
      <c r="E59" s="54"/>
      <c r="F59" s="68"/>
      <c r="G59" s="53" t="n">
        <v>2014</v>
      </c>
      <c r="H59" s="53"/>
      <c r="I59" s="53"/>
      <c r="J59" s="47" t="s">
        <v>5</v>
      </c>
      <c r="K59" s="56"/>
    </row>
    <row r="60" customFormat="false" ht="15" hidden="false" customHeight="true" outlineLevel="1" collapsed="false">
      <c r="B60" s="71"/>
      <c r="C60" s="71"/>
      <c r="D60" s="72" t="n">
        <v>1</v>
      </c>
      <c r="E60" s="73"/>
      <c r="F60" s="68"/>
      <c r="G60" s="72" t="n">
        <v>2021</v>
      </c>
      <c r="H60" s="72"/>
      <c r="I60" s="72"/>
      <c r="J60" s="47" t="s">
        <v>6</v>
      </c>
      <c r="K60" s="74"/>
    </row>
    <row r="61" customFormat="false" ht="15" hidden="false" customHeight="true" outlineLevel="1" collapsed="false">
      <c r="B61" s="75"/>
      <c r="C61" s="75"/>
      <c r="D61" s="72" t="n">
        <v>1</v>
      </c>
      <c r="E61" s="76"/>
      <c r="F61" s="68"/>
      <c r="G61" s="72" t="n">
        <v>2016</v>
      </c>
      <c r="H61" s="72"/>
      <c r="I61" s="72"/>
      <c r="J61" s="47" t="s">
        <v>5</v>
      </c>
      <c r="K61" s="77"/>
    </row>
    <row r="62" customFormat="false" ht="15" hidden="false" customHeight="true" outlineLevel="1" collapsed="false">
      <c r="B62" s="52"/>
      <c r="C62" s="52"/>
      <c r="D62" s="53" t="n">
        <v>1</v>
      </c>
      <c r="E62" s="54"/>
      <c r="F62" s="68"/>
      <c r="G62" s="53" t="n">
        <v>2017</v>
      </c>
      <c r="H62" s="53"/>
      <c r="I62" s="53"/>
      <c r="J62" s="47" t="s">
        <v>5</v>
      </c>
      <c r="K62" s="56"/>
    </row>
    <row r="63" customFormat="false" ht="15" hidden="false" customHeight="false" outlineLevel="1" collapsed="false">
      <c r="B63" s="78"/>
      <c r="C63" s="78"/>
      <c r="D63" s="45" t="n">
        <v>1</v>
      </c>
      <c r="E63" s="46"/>
      <c r="F63" s="68"/>
      <c r="G63" s="45" t="n">
        <v>2016</v>
      </c>
      <c r="H63" s="45"/>
      <c r="I63" s="45"/>
      <c r="J63" s="55" t="s">
        <v>6</v>
      </c>
      <c r="K63" s="64"/>
    </row>
    <row r="64" customFormat="false" ht="15" hidden="false" customHeight="true" outlineLevel="1" collapsed="false">
      <c r="B64" s="52"/>
      <c r="C64" s="52"/>
      <c r="D64" s="53" t="n">
        <v>1</v>
      </c>
      <c r="E64" s="54"/>
      <c r="F64" s="68"/>
      <c r="G64" s="53" t="n">
        <v>2017</v>
      </c>
      <c r="H64" s="53"/>
      <c r="I64" s="53"/>
      <c r="J64" s="47" t="s">
        <v>5</v>
      </c>
      <c r="K64" s="56"/>
    </row>
    <row r="65" customFormat="false" ht="15" hidden="false" customHeight="true" outlineLevel="1" collapsed="false">
      <c r="B65" s="52"/>
      <c r="C65" s="52"/>
      <c r="D65" s="53" t="n">
        <v>1</v>
      </c>
      <c r="E65" s="54"/>
      <c r="F65" s="68"/>
      <c r="G65" s="53" t="n">
        <v>2021</v>
      </c>
      <c r="H65" s="53"/>
      <c r="I65" s="53"/>
      <c r="J65" s="47" t="s">
        <v>9</v>
      </c>
      <c r="K65" s="56"/>
    </row>
    <row r="66" customFormat="false" ht="15" hidden="false" customHeight="true" outlineLevel="1" collapsed="false">
      <c r="B66" s="52"/>
      <c r="C66" s="52"/>
      <c r="D66" s="53" t="n">
        <v>1</v>
      </c>
      <c r="E66" s="54"/>
      <c r="F66" s="68"/>
      <c r="G66" s="53" t="n">
        <v>2018</v>
      </c>
      <c r="H66" s="53"/>
      <c r="I66" s="53"/>
      <c r="J66" s="47" t="s">
        <v>5</v>
      </c>
      <c r="K66" s="56"/>
    </row>
    <row r="67" customFormat="false" ht="15" hidden="false" customHeight="true" outlineLevel="1" collapsed="false">
      <c r="B67" s="52"/>
      <c r="C67" s="52"/>
      <c r="D67" s="53" t="n">
        <v>1</v>
      </c>
      <c r="E67" s="54"/>
      <c r="F67" s="68"/>
      <c r="G67" s="53" t="n">
        <v>2020</v>
      </c>
      <c r="H67" s="53"/>
      <c r="I67" s="53"/>
      <c r="J67" s="47" t="s">
        <v>6</v>
      </c>
      <c r="K67" s="56"/>
    </row>
    <row r="68" customFormat="false" ht="15" hidden="false" customHeight="true" outlineLevel="1" collapsed="false">
      <c r="B68" s="52"/>
      <c r="C68" s="52"/>
      <c r="D68" s="53" t="n">
        <v>1</v>
      </c>
      <c r="E68" s="54"/>
      <c r="F68" s="54"/>
      <c r="G68" s="53" t="n">
        <v>2014</v>
      </c>
      <c r="H68" s="53"/>
      <c r="I68" s="53"/>
      <c r="J68" s="47" t="s">
        <v>5</v>
      </c>
      <c r="K68" s="56"/>
    </row>
    <row r="69" customFormat="false" ht="15" hidden="false" customHeight="true" outlineLevel="1" collapsed="false">
      <c r="B69" s="52"/>
      <c r="C69" s="52"/>
      <c r="D69" s="53" t="n">
        <v>1</v>
      </c>
      <c r="E69" s="54"/>
      <c r="F69" s="68"/>
      <c r="G69" s="53" t="n">
        <v>2018</v>
      </c>
      <c r="H69" s="53"/>
      <c r="I69" s="53"/>
      <c r="J69" s="55" t="s">
        <v>5</v>
      </c>
      <c r="K69" s="56"/>
    </row>
    <row r="70" customFormat="false" ht="15" hidden="false" customHeight="true" outlineLevel="1" collapsed="false">
      <c r="B70" s="52"/>
      <c r="C70" s="52"/>
      <c r="D70" s="53" t="n">
        <v>1</v>
      </c>
      <c r="E70" s="54"/>
      <c r="F70" s="68"/>
      <c r="G70" s="53" t="n">
        <v>2019</v>
      </c>
      <c r="H70" s="53"/>
      <c r="I70" s="53"/>
      <c r="J70" s="61" t="s">
        <v>5</v>
      </c>
      <c r="K70" s="56"/>
    </row>
    <row r="71" customFormat="false" ht="15" hidden="false" customHeight="true" outlineLevel="1" collapsed="false">
      <c r="B71" s="52"/>
      <c r="C71" s="52"/>
      <c r="D71" s="53" t="n">
        <v>1</v>
      </c>
      <c r="E71" s="54"/>
      <c r="F71" s="68"/>
      <c r="G71" s="53" t="n">
        <v>2020</v>
      </c>
      <c r="H71" s="53"/>
      <c r="I71" s="53"/>
      <c r="J71" s="61" t="s">
        <v>6</v>
      </c>
      <c r="K71" s="56"/>
    </row>
    <row r="72" customFormat="false" ht="24" hidden="false" customHeight="true" outlineLevel="1" collapsed="false">
      <c r="B72" s="52"/>
      <c r="C72" s="52"/>
      <c r="D72" s="53" t="n">
        <v>1</v>
      </c>
      <c r="E72" s="54"/>
      <c r="F72" s="54"/>
      <c r="G72" s="53" t="n">
        <v>2016</v>
      </c>
      <c r="H72" s="53"/>
      <c r="I72" s="53"/>
      <c r="J72" s="47" t="s">
        <v>5</v>
      </c>
      <c r="K72" s="69"/>
    </row>
    <row r="73" customFormat="false" ht="24" hidden="false" customHeight="true" outlineLevel="1" collapsed="false">
      <c r="B73" s="52"/>
      <c r="C73" s="52"/>
      <c r="D73" s="53" t="n">
        <v>1</v>
      </c>
      <c r="E73" s="54"/>
      <c r="F73" s="54"/>
      <c r="G73" s="53" t="n">
        <v>2020</v>
      </c>
      <c r="H73" s="53"/>
      <c r="I73" s="53"/>
      <c r="J73" s="47" t="s">
        <v>9</v>
      </c>
      <c r="K73" s="69"/>
    </row>
    <row r="74" customFormat="false" ht="15" hidden="false" customHeight="true" outlineLevel="1" collapsed="false">
      <c r="B74" s="52"/>
      <c r="C74" s="52"/>
      <c r="D74" s="53" t="n">
        <v>1</v>
      </c>
      <c r="E74" s="54"/>
      <c r="F74" s="54"/>
      <c r="G74" s="53" t="n">
        <v>2013</v>
      </c>
      <c r="H74" s="53"/>
      <c r="I74" s="53"/>
      <c r="J74" s="70" t="s">
        <v>5</v>
      </c>
      <c r="K74" s="69"/>
    </row>
    <row r="75" customFormat="false" ht="15" hidden="false" customHeight="true" outlineLevel="1" collapsed="false">
      <c r="B75" s="52"/>
      <c r="C75" s="52"/>
      <c r="D75" s="53" t="n">
        <v>1</v>
      </c>
      <c r="E75" s="54"/>
      <c r="F75" s="79"/>
      <c r="G75" s="53" t="n">
        <v>2020</v>
      </c>
      <c r="H75" s="53"/>
      <c r="I75" s="53"/>
      <c r="J75" s="47" t="s">
        <v>5</v>
      </c>
      <c r="K75" s="69"/>
    </row>
    <row r="76" customFormat="false" ht="15" hidden="false" customHeight="true" outlineLevel="1" collapsed="false">
      <c r="B76" s="52"/>
      <c r="C76" s="52"/>
      <c r="D76" s="53" t="n">
        <v>1</v>
      </c>
      <c r="E76" s="54"/>
      <c r="F76" s="54"/>
      <c r="G76" s="53" t="n">
        <v>2019</v>
      </c>
      <c r="H76" s="53"/>
      <c r="I76" s="53"/>
      <c r="J76" s="47" t="s">
        <v>5</v>
      </c>
      <c r="K76" s="80"/>
    </row>
    <row r="77" customFormat="false" ht="15" hidden="false" customHeight="true" outlineLevel="1" collapsed="false">
      <c r="B77" s="57"/>
      <c r="C77" s="57"/>
      <c r="D77" s="58" t="n">
        <v>1</v>
      </c>
      <c r="E77" s="59"/>
      <c r="F77" s="59"/>
      <c r="G77" s="58" t="n">
        <v>2020</v>
      </c>
      <c r="H77" s="58"/>
      <c r="I77" s="58"/>
      <c r="J77" s="47" t="s">
        <v>11</v>
      </c>
      <c r="K77" s="80"/>
    </row>
    <row r="78" customFormat="false" ht="15" hidden="false" customHeight="true" outlineLevel="1" collapsed="false">
      <c r="B78" s="52"/>
      <c r="C78" s="52"/>
      <c r="D78" s="53" t="n">
        <v>1</v>
      </c>
      <c r="E78" s="54"/>
      <c r="F78" s="54"/>
      <c r="G78" s="53" t="n">
        <v>2014</v>
      </c>
      <c r="H78" s="53"/>
      <c r="I78" s="53"/>
      <c r="J78" s="47" t="s">
        <v>5</v>
      </c>
      <c r="K78" s="56"/>
    </row>
    <row r="79" customFormat="false" ht="15" hidden="false" customHeight="false" outlineLevel="1" collapsed="false">
      <c r="B79" s="37"/>
      <c r="C79" s="37"/>
      <c r="D79" s="53" t="n">
        <v>1</v>
      </c>
      <c r="E79" s="54"/>
      <c r="F79" s="54"/>
      <c r="G79" s="53" t="n">
        <v>2016</v>
      </c>
      <c r="H79" s="53"/>
      <c r="I79" s="53"/>
      <c r="J79" s="47" t="s">
        <v>5</v>
      </c>
      <c r="K79" s="56"/>
    </row>
    <row r="80" customFormat="false" ht="15" hidden="false" customHeight="false" outlineLevel="1" collapsed="false">
      <c r="B80" s="37"/>
      <c r="C80" s="37"/>
      <c r="D80" s="53" t="n">
        <v>1</v>
      </c>
      <c r="E80" s="54"/>
      <c r="F80" s="54"/>
      <c r="G80" s="45" t="n">
        <v>2020</v>
      </c>
      <c r="H80" s="45"/>
      <c r="I80" s="45"/>
      <c r="J80" s="47" t="s">
        <v>9</v>
      </c>
      <c r="K80" s="56"/>
    </row>
    <row r="81" customFormat="false" ht="15" hidden="false" customHeight="true" outlineLevel="1" collapsed="false">
      <c r="B81" s="37"/>
      <c r="C81" s="37"/>
      <c r="D81" s="53" t="n">
        <v>1</v>
      </c>
      <c r="E81" s="54"/>
      <c r="F81" s="54"/>
      <c r="G81" s="45" t="n">
        <v>2018</v>
      </c>
      <c r="H81" s="45"/>
      <c r="I81" s="45"/>
      <c r="J81" s="47" t="s">
        <v>5</v>
      </c>
      <c r="K81" s="56"/>
    </row>
    <row r="82" customFormat="false" ht="15" hidden="false" customHeight="true" outlineLevel="1" collapsed="false">
      <c r="B82" s="52"/>
      <c r="C82" s="52"/>
      <c r="D82" s="53" t="n">
        <v>1</v>
      </c>
      <c r="E82" s="54"/>
      <c r="F82" s="68"/>
      <c r="G82" s="45" t="n">
        <v>2014</v>
      </c>
      <c r="H82" s="45"/>
      <c r="I82" s="45"/>
      <c r="J82" s="47" t="s">
        <v>5</v>
      </c>
      <c r="K82" s="56"/>
    </row>
    <row r="83" customFormat="false" ht="15" hidden="false" customHeight="true" outlineLevel="1" collapsed="false">
      <c r="B83" s="52"/>
      <c r="C83" s="52"/>
      <c r="D83" s="53" t="n">
        <v>1</v>
      </c>
      <c r="E83" s="54"/>
      <c r="F83" s="68"/>
      <c r="G83" s="45" t="n">
        <v>2021</v>
      </c>
      <c r="H83" s="45"/>
      <c r="I83" s="45"/>
      <c r="J83" s="47" t="s">
        <v>9</v>
      </c>
      <c r="K83" s="56"/>
    </row>
    <row r="84" customFormat="false" ht="15" hidden="false" customHeight="true" outlineLevel="1" collapsed="false">
      <c r="B84" s="52"/>
      <c r="C84" s="52"/>
      <c r="D84" s="53" t="n">
        <v>1</v>
      </c>
      <c r="E84" s="54"/>
      <c r="F84" s="68"/>
      <c r="G84" s="45" t="n">
        <v>2022</v>
      </c>
      <c r="H84" s="45"/>
      <c r="I84" s="45"/>
      <c r="J84" s="47" t="s">
        <v>11</v>
      </c>
      <c r="K84" s="56"/>
    </row>
    <row r="85" customFormat="false" ht="17.25" hidden="false" customHeight="true" outlineLevel="1" collapsed="false">
      <c r="B85" s="52"/>
      <c r="C85" s="52"/>
      <c r="D85" s="53" t="n">
        <v>1</v>
      </c>
      <c r="E85" s="54"/>
      <c r="F85" s="54"/>
      <c r="G85" s="53" t="n">
        <v>2016</v>
      </c>
      <c r="H85" s="53"/>
      <c r="I85" s="53"/>
      <c r="J85" s="55" t="s">
        <v>6</v>
      </c>
      <c r="K85" s="56"/>
    </row>
    <row r="86" customFormat="false" ht="15" hidden="false" customHeight="true" outlineLevel="1" collapsed="false">
      <c r="B86" s="52"/>
      <c r="C86" s="52"/>
      <c r="D86" s="53" t="n">
        <v>1</v>
      </c>
      <c r="E86" s="54"/>
      <c r="F86" s="68"/>
      <c r="G86" s="53" t="n">
        <v>2017</v>
      </c>
      <c r="H86" s="53"/>
      <c r="I86" s="53"/>
      <c r="J86" s="47" t="s">
        <v>5</v>
      </c>
      <c r="K86" s="56"/>
    </row>
    <row r="87" customFormat="false" ht="15" hidden="false" customHeight="true" outlineLevel="1" collapsed="false">
      <c r="B87" s="52"/>
      <c r="C87" s="52"/>
      <c r="D87" s="53" t="n">
        <v>1</v>
      </c>
      <c r="E87" s="54"/>
      <c r="F87" s="68"/>
      <c r="G87" s="53" t="n">
        <v>2018</v>
      </c>
      <c r="H87" s="53"/>
      <c r="I87" s="53"/>
      <c r="J87" s="55" t="s">
        <v>5</v>
      </c>
      <c r="K87" s="56"/>
    </row>
    <row r="88" customFormat="false" ht="15" hidden="false" customHeight="true" outlineLevel="1" collapsed="false">
      <c r="B88" s="52"/>
      <c r="C88" s="52"/>
      <c r="D88" s="53" t="n">
        <v>1</v>
      </c>
      <c r="E88" s="54"/>
      <c r="F88" s="68"/>
      <c r="G88" s="53" t="n">
        <v>2018</v>
      </c>
      <c r="H88" s="53"/>
      <c r="I88" s="53"/>
      <c r="J88" s="61" t="s">
        <v>5</v>
      </c>
      <c r="K88" s="56"/>
    </row>
    <row r="89" customFormat="false" ht="25.5" hidden="false" customHeight="true" outlineLevel="1" collapsed="false">
      <c r="B89" s="52"/>
      <c r="C89" s="52"/>
      <c r="D89" s="53" t="n">
        <v>1</v>
      </c>
      <c r="E89" s="54"/>
      <c r="F89" s="79"/>
      <c r="G89" s="53" t="n">
        <v>2016</v>
      </c>
      <c r="H89" s="53"/>
      <c r="I89" s="53"/>
      <c r="J89" s="47" t="s">
        <v>5</v>
      </c>
      <c r="K89" s="80"/>
    </row>
    <row r="90" customFormat="false" ht="15" hidden="false" customHeight="true" outlineLevel="1" collapsed="false">
      <c r="B90" s="52"/>
      <c r="C90" s="52"/>
      <c r="D90" s="53" t="n">
        <v>1</v>
      </c>
      <c r="E90" s="54"/>
      <c r="F90" s="54"/>
      <c r="G90" s="53" t="n">
        <v>2017</v>
      </c>
      <c r="H90" s="53"/>
      <c r="I90" s="53"/>
      <c r="J90" s="55" t="s">
        <v>5</v>
      </c>
      <c r="K90" s="56"/>
    </row>
    <row r="91" customFormat="false" ht="15" hidden="false" customHeight="true" outlineLevel="1" collapsed="false">
      <c r="B91" s="37"/>
      <c r="C91" s="37"/>
      <c r="D91" s="53" t="n">
        <v>1</v>
      </c>
      <c r="E91" s="68"/>
      <c r="F91" s="68"/>
      <c r="G91" s="53" t="n">
        <v>2017</v>
      </c>
      <c r="H91" s="53"/>
      <c r="I91" s="53"/>
      <c r="J91" s="47" t="s">
        <v>5</v>
      </c>
      <c r="K91" s="69"/>
    </row>
    <row r="92" customFormat="false" ht="15" hidden="false" customHeight="true" outlineLevel="1" collapsed="false">
      <c r="B92" s="37"/>
      <c r="C92" s="37"/>
      <c r="D92" s="53" t="n">
        <v>1</v>
      </c>
      <c r="E92" s="54"/>
      <c r="F92" s="68"/>
      <c r="G92" s="53" t="n">
        <v>2018</v>
      </c>
      <c r="H92" s="53"/>
      <c r="I92" s="53"/>
      <c r="J92" s="47" t="s">
        <v>5</v>
      </c>
      <c r="K92" s="69"/>
    </row>
    <row r="93" customFormat="false" ht="15" hidden="false" customHeight="true" outlineLevel="1" collapsed="false">
      <c r="B93" s="37"/>
      <c r="C93" s="37"/>
      <c r="D93" s="53" t="n">
        <v>1</v>
      </c>
      <c r="E93" s="54"/>
      <c r="F93" s="68"/>
      <c r="G93" s="53" t="n">
        <v>2018</v>
      </c>
      <c r="H93" s="53"/>
      <c r="I93" s="53"/>
      <c r="J93" s="47" t="s">
        <v>5</v>
      </c>
      <c r="K93" s="69"/>
    </row>
    <row r="94" customFormat="false" ht="15" hidden="false" customHeight="true" outlineLevel="1" collapsed="false">
      <c r="B94" s="52"/>
      <c r="C94" s="52"/>
      <c r="D94" s="53" t="n">
        <v>1</v>
      </c>
      <c r="E94" s="54"/>
      <c r="F94" s="68"/>
      <c r="G94" s="53" t="n">
        <v>2014</v>
      </c>
      <c r="H94" s="53"/>
      <c r="I94" s="53"/>
      <c r="J94" s="47" t="s">
        <v>5</v>
      </c>
      <c r="K94" s="56"/>
    </row>
    <row r="95" customFormat="false" ht="15" hidden="false" customHeight="true" outlineLevel="1" collapsed="false">
      <c r="B95" s="37"/>
      <c r="C95" s="37"/>
      <c r="D95" s="53" t="n">
        <v>1</v>
      </c>
      <c r="E95" s="68"/>
      <c r="F95" s="68"/>
      <c r="G95" s="53" t="n">
        <v>2016</v>
      </c>
      <c r="H95" s="53"/>
      <c r="I95" s="53"/>
      <c r="J95" s="47" t="s">
        <v>5</v>
      </c>
      <c r="K95" s="69"/>
    </row>
    <row r="96" customFormat="false" ht="15" hidden="false" customHeight="true" outlineLevel="1" collapsed="false">
      <c r="B96" s="37"/>
      <c r="C96" s="37"/>
      <c r="D96" s="53" t="n">
        <v>1</v>
      </c>
      <c r="E96" s="68"/>
      <c r="F96" s="68"/>
      <c r="G96" s="53" t="n">
        <v>2016</v>
      </c>
      <c r="H96" s="53"/>
      <c r="I96" s="53"/>
      <c r="J96" s="47" t="s">
        <v>5</v>
      </c>
      <c r="K96" s="69"/>
    </row>
    <row r="97" customFormat="false" ht="15" hidden="false" customHeight="true" outlineLevel="1" collapsed="false">
      <c r="B97" s="37"/>
      <c r="C97" s="37"/>
      <c r="D97" s="53" t="n">
        <v>1</v>
      </c>
      <c r="E97" s="68"/>
      <c r="F97" s="68"/>
      <c r="G97" s="53" t="n">
        <v>2020</v>
      </c>
      <c r="H97" s="53"/>
      <c r="I97" s="53"/>
      <c r="J97" s="47" t="s">
        <v>5</v>
      </c>
      <c r="K97" s="69"/>
    </row>
    <row r="98" customFormat="false" ht="15" hidden="false" customHeight="true" outlineLevel="1" collapsed="false">
      <c r="B98" s="81"/>
      <c r="C98" s="81"/>
      <c r="D98" s="58" t="n">
        <v>1</v>
      </c>
      <c r="E98" s="82"/>
      <c r="F98" s="82"/>
      <c r="G98" s="58" t="n">
        <v>2020</v>
      </c>
      <c r="H98" s="58"/>
      <c r="I98" s="58"/>
      <c r="J98" s="47" t="s">
        <v>11</v>
      </c>
      <c r="K98" s="69"/>
    </row>
    <row r="99" customFormat="false" ht="15" hidden="false" customHeight="true" outlineLevel="1" collapsed="false">
      <c r="B99" s="37"/>
      <c r="C99" s="37"/>
      <c r="D99" s="53" t="n">
        <v>1</v>
      </c>
      <c r="E99" s="68"/>
      <c r="F99" s="68"/>
      <c r="G99" s="53" t="n">
        <v>2016</v>
      </c>
      <c r="H99" s="53"/>
      <c r="I99" s="53"/>
      <c r="J99" s="47" t="s">
        <v>5</v>
      </c>
      <c r="K99" s="69"/>
    </row>
    <row r="100" customFormat="false" ht="15" hidden="false" customHeight="true" outlineLevel="1" collapsed="false">
      <c r="B100" s="37"/>
      <c r="C100" s="37"/>
      <c r="D100" s="53" t="n">
        <v>1</v>
      </c>
      <c r="E100" s="68"/>
      <c r="F100" s="68"/>
      <c r="G100" s="45" t="n">
        <v>2016</v>
      </c>
      <c r="H100" s="45"/>
      <c r="I100" s="45"/>
      <c r="J100" s="47" t="s">
        <v>5</v>
      </c>
      <c r="K100" s="69"/>
    </row>
    <row r="101" customFormat="false" ht="15" hidden="false" customHeight="true" outlineLevel="1" collapsed="false">
      <c r="B101" s="52"/>
      <c r="C101" s="52"/>
      <c r="D101" s="53" t="n">
        <v>1</v>
      </c>
      <c r="E101" s="54"/>
      <c r="F101" s="68"/>
      <c r="G101" s="45" t="n">
        <v>2014</v>
      </c>
      <c r="H101" s="45"/>
      <c r="I101" s="45"/>
      <c r="J101" s="47" t="s">
        <v>5</v>
      </c>
      <c r="K101" s="56"/>
    </row>
    <row r="102" customFormat="false" ht="15" hidden="false" customHeight="true" outlineLevel="1" collapsed="false">
      <c r="B102" s="52"/>
      <c r="C102" s="52"/>
      <c r="D102" s="53" t="n">
        <v>1</v>
      </c>
      <c r="E102" s="54"/>
      <c r="F102" s="46"/>
      <c r="G102" s="45" t="n">
        <v>2013</v>
      </c>
      <c r="H102" s="45"/>
      <c r="I102" s="45"/>
      <c r="J102" s="47" t="s">
        <v>5</v>
      </c>
      <c r="K102" s="56"/>
    </row>
    <row r="103" customFormat="false" ht="15" hidden="false" customHeight="true" outlineLevel="1" collapsed="false">
      <c r="B103" s="57"/>
      <c r="C103" s="57"/>
      <c r="D103" s="58" t="n">
        <v>1</v>
      </c>
      <c r="E103" s="59"/>
      <c r="F103" s="60"/>
      <c r="G103" s="83" t="n">
        <v>2020</v>
      </c>
      <c r="H103" s="67"/>
      <c r="I103" s="67"/>
      <c r="J103" s="47" t="s">
        <v>6</v>
      </c>
      <c r="K103" s="56"/>
    </row>
    <row r="104" customFormat="false" ht="15" hidden="false" customHeight="true" outlineLevel="1" collapsed="false">
      <c r="B104" s="52"/>
      <c r="C104" s="52"/>
      <c r="D104" s="53" t="n">
        <v>1</v>
      </c>
      <c r="E104" s="54"/>
      <c r="F104" s="68"/>
      <c r="G104" s="53" t="n">
        <v>2014</v>
      </c>
      <c r="H104" s="53"/>
      <c r="I104" s="53"/>
      <c r="J104" s="47" t="s">
        <v>5</v>
      </c>
      <c r="K104" s="56"/>
    </row>
    <row r="105" customFormat="false" ht="15" hidden="false" customHeight="true" outlineLevel="1" collapsed="false">
      <c r="B105" s="57"/>
      <c r="C105" s="57"/>
      <c r="D105" s="58" t="n">
        <v>1</v>
      </c>
      <c r="E105" s="59"/>
      <c r="F105" s="82"/>
      <c r="G105" s="83" t="n">
        <v>2020</v>
      </c>
      <c r="H105" s="67"/>
      <c r="I105" s="67"/>
      <c r="J105" s="47" t="s">
        <v>6</v>
      </c>
      <c r="K105" s="56"/>
    </row>
    <row r="106" customFormat="false" ht="15" hidden="false" customHeight="true" outlineLevel="1" collapsed="false">
      <c r="B106" s="52"/>
      <c r="C106" s="52"/>
      <c r="D106" s="53" t="n">
        <v>1</v>
      </c>
      <c r="E106" s="54"/>
      <c r="F106" s="68"/>
      <c r="G106" s="45" t="n">
        <v>2018</v>
      </c>
      <c r="H106" s="45"/>
      <c r="I106" s="45"/>
      <c r="J106" s="47" t="s">
        <v>5</v>
      </c>
      <c r="K106" s="69"/>
    </row>
    <row r="107" customFormat="false" ht="15" hidden="false" customHeight="true" outlineLevel="1" collapsed="false">
      <c r="B107" s="52"/>
      <c r="C107" s="52"/>
      <c r="D107" s="53" t="n">
        <v>1</v>
      </c>
      <c r="E107" s="54"/>
      <c r="F107" s="68"/>
      <c r="G107" s="45" t="n">
        <v>2018</v>
      </c>
      <c r="H107" s="45"/>
      <c r="I107" s="45"/>
      <c r="J107" s="47" t="s">
        <v>5</v>
      </c>
      <c r="K107" s="69"/>
    </row>
    <row r="108" customFormat="false" ht="15" hidden="false" customHeight="true" outlineLevel="1" collapsed="false">
      <c r="B108" s="57"/>
      <c r="C108" s="57"/>
      <c r="D108" s="58" t="n">
        <v>1</v>
      </c>
      <c r="E108" s="59"/>
      <c r="F108" s="82"/>
      <c r="G108" s="83" t="n">
        <v>2020</v>
      </c>
      <c r="H108" s="67"/>
      <c r="I108" s="67"/>
      <c r="J108" s="47" t="s">
        <v>6</v>
      </c>
      <c r="K108" s="69"/>
    </row>
    <row r="109" customFormat="false" ht="15" hidden="false" customHeight="true" outlineLevel="1" collapsed="false">
      <c r="B109" s="52"/>
      <c r="C109" s="52"/>
      <c r="D109" s="53" t="n">
        <v>1</v>
      </c>
      <c r="E109" s="54"/>
      <c r="F109" s="68"/>
      <c r="G109" s="45" t="n">
        <v>2022</v>
      </c>
      <c r="H109" s="45"/>
      <c r="I109" s="45"/>
      <c r="J109" s="47" t="s">
        <v>11</v>
      </c>
      <c r="K109" s="69"/>
    </row>
    <row r="110" customFormat="false" ht="28.5" hidden="false" customHeight="true" outlineLevel="1" collapsed="false">
      <c r="B110" s="52"/>
      <c r="C110" s="52"/>
      <c r="D110" s="53" t="n">
        <v>1</v>
      </c>
      <c r="E110" s="54"/>
      <c r="F110" s="68"/>
      <c r="G110" s="45" t="n">
        <v>2017</v>
      </c>
      <c r="H110" s="45"/>
      <c r="I110" s="45"/>
      <c r="J110" s="55" t="s">
        <v>5</v>
      </c>
      <c r="K110" s="56"/>
    </row>
    <row r="111" customFormat="false" ht="15" hidden="false" customHeight="false" outlineLevel="1" collapsed="false">
      <c r="B111" s="52"/>
      <c r="C111" s="52"/>
      <c r="D111" s="53" t="n">
        <v>1</v>
      </c>
      <c r="E111" s="54"/>
      <c r="F111" s="68"/>
      <c r="G111" s="45" t="n">
        <v>2021</v>
      </c>
      <c r="H111" s="45"/>
      <c r="I111" s="45"/>
      <c r="J111" s="55" t="s">
        <v>9</v>
      </c>
      <c r="K111" s="56"/>
    </row>
    <row r="112" customFormat="false" ht="15" hidden="false" customHeight="true" outlineLevel="1" collapsed="false">
      <c r="B112" s="37"/>
      <c r="C112" s="52"/>
      <c r="D112" s="53" t="n">
        <v>1</v>
      </c>
      <c r="E112" s="54"/>
      <c r="F112" s="68"/>
      <c r="G112" s="45" t="n">
        <v>2018</v>
      </c>
      <c r="H112" s="45"/>
      <c r="I112" s="45"/>
      <c r="J112" s="55" t="s">
        <v>5</v>
      </c>
      <c r="K112" s="56"/>
    </row>
    <row r="113" customFormat="false" ht="15.75" hidden="false" customHeight="true" outlineLevel="1" collapsed="false">
      <c r="B113" s="37"/>
      <c r="C113" s="37"/>
      <c r="D113" s="53" t="n">
        <v>1</v>
      </c>
      <c r="E113" s="68"/>
      <c r="F113" s="68"/>
      <c r="G113" s="53" t="n">
        <v>2016</v>
      </c>
      <c r="H113" s="53"/>
      <c r="I113" s="53"/>
      <c r="J113" s="47" t="s">
        <v>5</v>
      </c>
      <c r="K113" s="69"/>
    </row>
    <row r="114" customFormat="false" ht="15.75" hidden="false" customHeight="true" outlineLevel="1" collapsed="false">
      <c r="B114" s="37"/>
      <c r="C114" s="37"/>
      <c r="D114" s="53" t="n">
        <v>1</v>
      </c>
      <c r="E114" s="68"/>
      <c r="F114" s="68"/>
      <c r="G114" s="53" t="n">
        <v>2020</v>
      </c>
      <c r="H114" s="53"/>
      <c r="I114" s="53"/>
      <c r="J114" s="47" t="s">
        <v>9</v>
      </c>
      <c r="K114" s="69"/>
    </row>
    <row r="115" customFormat="false" ht="15.75" hidden="false" customHeight="true" outlineLevel="1" collapsed="false">
      <c r="B115" s="37"/>
      <c r="C115" s="37"/>
      <c r="D115" s="53" t="n">
        <v>1</v>
      </c>
      <c r="E115" s="68"/>
      <c r="F115" s="68"/>
      <c r="G115" s="53" t="n">
        <v>2019</v>
      </c>
      <c r="H115" s="53"/>
      <c r="I115" s="53"/>
      <c r="J115" s="47" t="s">
        <v>5</v>
      </c>
      <c r="K115" s="69"/>
    </row>
    <row r="116" customFormat="false" ht="15" hidden="false" customHeight="true" outlineLevel="1" collapsed="false">
      <c r="B116" s="37"/>
      <c r="C116" s="37"/>
      <c r="D116" s="53" t="n">
        <v>1</v>
      </c>
      <c r="E116" s="68"/>
      <c r="F116" s="68"/>
      <c r="G116" s="53" t="n">
        <v>2018</v>
      </c>
      <c r="H116" s="53"/>
      <c r="I116" s="53"/>
      <c r="J116" s="70" t="s">
        <v>5</v>
      </c>
      <c r="K116" s="69"/>
    </row>
    <row r="117" customFormat="false" ht="15" hidden="false" customHeight="true" outlineLevel="1" collapsed="false">
      <c r="B117" s="37"/>
      <c r="C117" s="37"/>
      <c r="D117" s="53" t="n">
        <v>1</v>
      </c>
      <c r="E117" s="68"/>
      <c r="F117" s="68"/>
      <c r="G117" s="53" t="n">
        <v>2016</v>
      </c>
      <c r="H117" s="53"/>
      <c r="I117" s="53"/>
      <c r="J117" s="47" t="s">
        <v>5</v>
      </c>
      <c r="K117" s="69"/>
    </row>
    <row r="118" customFormat="false" ht="15" hidden="false" customHeight="true" outlineLevel="1" collapsed="false">
      <c r="B118" s="37"/>
      <c r="C118" s="37"/>
      <c r="D118" s="53" t="n">
        <v>1</v>
      </c>
      <c r="E118" s="68"/>
      <c r="F118" s="68"/>
      <c r="G118" s="53" t="n">
        <v>2020</v>
      </c>
      <c r="H118" s="53"/>
      <c r="I118" s="53"/>
      <c r="J118" s="47" t="s">
        <v>5</v>
      </c>
      <c r="K118" s="69"/>
    </row>
    <row r="119" customFormat="false" ht="15" hidden="false" customHeight="true" outlineLevel="1" collapsed="false">
      <c r="B119" s="37"/>
      <c r="C119" s="37"/>
      <c r="D119" s="53" t="n">
        <v>1</v>
      </c>
      <c r="E119" s="68"/>
      <c r="F119" s="68"/>
      <c r="G119" s="53" t="n">
        <v>2018</v>
      </c>
      <c r="H119" s="53"/>
      <c r="I119" s="53"/>
      <c r="J119" s="47" t="s">
        <v>5</v>
      </c>
      <c r="K119" s="69"/>
    </row>
    <row r="120" customFormat="false" ht="15" hidden="false" customHeight="true" outlineLevel="1" collapsed="false">
      <c r="B120" s="37"/>
      <c r="C120" s="37"/>
      <c r="D120" s="53" t="n">
        <v>1</v>
      </c>
      <c r="E120" s="68"/>
      <c r="F120" s="68"/>
      <c r="G120" s="53" t="n">
        <v>2018</v>
      </c>
      <c r="H120" s="53"/>
      <c r="I120" s="53"/>
      <c r="J120" s="47" t="s">
        <v>5</v>
      </c>
      <c r="K120" s="69"/>
    </row>
    <row r="121" customFormat="false" ht="15" hidden="false" customHeight="true" outlineLevel="1" collapsed="false">
      <c r="B121" s="37"/>
      <c r="C121" s="37"/>
      <c r="D121" s="53" t="n">
        <v>1</v>
      </c>
      <c r="E121" s="68"/>
      <c r="F121" s="68"/>
      <c r="G121" s="53" t="n">
        <v>2020</v>
      </c>
      <c r="H121" s="53"/>
      <c r="I121" s="53"/>
      <c r="J121" s="47" t="s">
        <v>6</v>
      </c>
      <c r="K121" s="69"/>
    </row>
    <row r="122" customFormat="false" ht="15" hidden="false" customHeight="true" outlineLevel="1" collapsed="false">
      <c r="B122" s="52"/>
      <c r="C122" s="52"/>
      <c r="D122" s="53" t="n">
        <v>1</v>
      </c>
      <c r="E122" s="54"/>
      <c r="F122" s="68"/>
      <c r="G122" s="53" t="n">
        <v>2014</v>
      </c>
      <c r="H122" s="53"/>
      <c r="I122" s="53"/>
      <c r="J122" s="47" t="s">
        <v>5</v>
      </c>
      <c r="K122" s="56"/>
    </row>
    <row r="123" customFormat="false" ht="27.75" hidden="false" customHeight="true" outlineLevel="1" collapsed="false">
      <c r="B123" s="37"/>
      <c r="C123" s="37"/>
      <c r="D123" s="53" t="n">
        <v>1</v>
      </c>
      <c r="E123" s="68"/>
      <c r="F123" s="68"/>
      <c r="G123" s="45" t="n">
        <v>2016</v>
      </c>
      <c r="H123" s="45"/>
      <c r="I123" s="45"/>
      <c r="J123" s="47" t="s">
        <v>5</v>
      </c>
      <c r="K123" s="69"/>
    </row>
    <row r="124" customFormat="false" ht="15" hidden="false" customHeight="true" outlineLevel="1" collapsed="false">
      <c r="B124" s="52"/>
      <c r="C124" s="52"/>
      <c r="D124" s="53" t="n">
        <v>1</v>
      </c>
      <c r="E124" s="54"/>
      <c r="F124" s="68"/>
      <c r="G124" s="53" t="n">
        <v>2017</v>
      </c>
      <c r="H124" s="53"/>
      <c r="I124" s="53"/>
      <c r="J124" s="47" t="s">
        <v>5</v>
      </c>
      <c r="K124" s="69"/>
    </row>
    <row r="125" customFormat="false" ht="15" hidden="false" customHeight="true" outlineLevel="1" collapsed="false">
      <c r="B125" s="52"/>
      <c r="C125" s="52"/>
      <c r="D125" s="53" t="n">
        <v>1</v>
      </c>
      <c r="E125" s="54"/>
      <c r="F125" s="68"/>
      <c r="G125" s="45" t="n">
        <v>2020</v>
      </c>
      <c r="H125" s="45"/>
      <c r="I125" s="45"/>
      <c r="J125" s="47" t="s">
        <v>5</v>
      </c>
      <c r="K125" s="69"/>
    </row>
    <row r="126" customFormat="false" ht="15" hidden="false" customHeight="true" outlineLevel="1" collapsed="false">
      <c r="B126" s="52"/>
      <c r="C126" s="52"/>
      <c r="D126" s="53" t="n">
        <v>1</v>
      </c>
      <c r="E126" s="54"/>
      <c r="F126" s="54"/>
      <c r="G126" s="45" t="n">
        <v>2018</v>
      </c>
      <c r="H126" s="45"/>
      <c r="I126" s="45"/>
      <c r="J126" s="70" t="s">
        <v>9</v>
      </c>
      <c r="K126" s="69"/>
    </row>
    <row r="127" customFormat="false" ht="15" hidden="false" customHeight="true" outlineLevel="1" collapsed="false">
      <c r="B127" s="52"/>
      <c r="C127" s="52"/>
      <c r="D127" s="53" t="n">
        <v>1</v>
      </c>
      <c r="E127" s="54"/>
      <c r="F127" s="54"/>
      <c r="G127" s="45" t="n">
        <v>2018</v>
      </c>
      <c r="H127" s="45"/>
      <c r="I127" s="45"/>
      <c r="J127" s="47" t="s">
        <v>5</v>
      </c>
      <c r="K127" s="69"/>
    </row>
    <row r="128" customFormat="false" ht="15" hidden="false" customHeight="true" outlineLevel="1" collapsed="false">
      <c r="B128" s="52"/>
      <c r="C128" s="52"/>
      <c r="D128" s="53" t="n">
        <v>1</v>
      </c>
      <c r="E128" s="54"/>
      <c r="F128" s="68"/>
      <c r="G128" s="45" t="n">
        <v>2018</v>
      </c>
      <c r="H128" s="45"/>
      <c r="I128" s="45"/>
      <c r="J128" s="47" t="s">
        <v>5</v>
      </c>
      <c r="K128" s="69"/>
    </row>
    <row r="129" customFormat="false" ht="15" hidden="false" customHeight="true" outlineLevel="1" collapsed="false">
      <c r="B129" s="52"/>
      <c r="C129" s="52"/>
      <c r="D129" s="53" t="n">
        <v>1</v>
      </c>
      <c r="E129" s="54"/>
      <c r="F129" s="68"/>
      <c r="G129" s="45" t="n">
        <v>2020</v>
      </c>
      <c r="H129" s="45"/>
      <c r="I129" s="45"/>
      <c r="J129" s="47" t="s">
        <v>6</v>
      </c>
      <c r="K129" s="69"/>
    </row>
    <row r="130" customFormat="false" ht="15" hidden="false" customHeight="true" outlineLevel="1" collapsed="false">
      <c r="B130" s="37"/>
      <c r="C130" s="37"/>
      <c r="D130" s="53" t="n">
        <v>1</v>
      </c>
      <c r="E130" s="68"/>
      <c r="F130" s="68"/>
      <c r="G130" s="45" t="n">
        <v>2016</v>
      </c>
      <c r="H130" s="45"/>
      <c r="I130" s="45"/>
      <c r="J130" s="47" t="s">
        <v>5</v>
      </c>
      <c r="K130" s="69"/>
    </row>
    <row r="131" customFormat="false" ht="15" hidden="false" customHeight="true" outlineLevel="1" collapsed="false">
      <c r="B131" s="37"/>
      <c r="C131" s="37"/>
      <c r="D131" s="53" t="n">
        <v>1</v>
      </c>
      <c r="E131" s="68"/>
      <c r="F131" s="68"/>
      <c r="G131" s="45" t="n">
        <v>2021</v>
      </c>
      <c r="H131" s="45"/>
      <c r="I131" s="45"/>
      <c r="J131" s="47" t="s">
        <v>11</v>
      </c>
      <c r="K131" s="69"/>
    </row>
    <row r="132" customFormat="false" ht="15" hidden="false" customHeight="true" outlineLevel="1" collapsed="false">
      <c r="B132" s="81"/>
      <c r="C132" s="81"/>
      <c r="D132" s="58" t="n">
        <v>1</v>
      </c>
      <c r="E132" s="82"/>
      <c r="F132" s="82"/>
      <c r="G132" s="83" t="n">
        <v>2020</v>
      </c>
      <c r="H132" s="67"/>
      <c r="I132" s="67"/>
      <c r="J132" s="47" t="s">
        <v>6</v>
      </c>
      <c r="K132" s="69"/>
    </row>
    <row r="133" customFormat="false" ht="15" hidden="false" customHeight="true" outlineLevel="1" collapsed="false">
      <c r="B133" s="37"/>
      <c r="C133" s="37"/>
      <c r="D133" s="53" t="n">
        <v>1</v>
      </c>
      <c r="E133" s="68"/>
      <c r="F133" s="68"/>
      <c r="G133" s="53" t="n">
        <v>2016</v>
      </c>
      <c r="H133" s="53"/>
      <c r="I133" s="53"/>
      <c r="J133" s="47" t="s">
        <v>5</v>
      </c>
      <c r="K133" s="69"/>
    </row>
    <row r="134" customFormat="false" ht="15" hidden="false" customHeight="true" outlineLevel="1" collapsed="false">
      <c r="B134" s="37"/>
      <c r="C134" s="37"/>
      <c r="D134" s="53" t="n">
        <v>1</v>
      </c>
      <c r="E134" s="68"/>
      <c r="F134" s="68"/>
      <c r="G134" s="45" t="n">
        <v>2018</v>
      </c>
      <c r="H134" s="45"/>
      <c r="I134" s="45"/>
      <c r="J134" s="47" t="s">
        <v>5</v>
      </c>
      <c r="K134" s="69"/>
    </row>
    <row r="135" customFormat="false" ht="15" hidden="false" customHeight="true" outlineLevel="1" collapsed="false">
      <c r="B135" s="37"/>
      <c r="C135" s="37"/>
      <c r="D135" s="53" t="n">
        <v>1</v>
      </c>
      <c r="E135" s="68"/>
      <c r="F135" s="68"/>
      <c r="G135" s="45" t="n">
        <v>2018</v>
      </c>
      <c r="H135" s="45"/>
      <c r="I135" s="45"/>
      <c r="J135" s="47" t="s">
        <v>5</v>
      </c>
      <c r="K135" s="69"/>
    </row>
    <row r="136" customFormat="false" ht="15" hidden="false" customHeight="true" outlineLevel="1" collapsed="false">
      <c r="B136" s="81"/>
      <c r="C136" s="81"/>
      <c r="D136" s="58" t="n">
        <v>1</v>
      </c>
      <c r="E136" s="82"/>
      <c r="F136" s="82"/>
      <c r="G136" s="83" t="n">
        <v>2020</v>
      </c>
      <c r="H136" s="67"/>
      <c r="I136" s="67"/>
      <c r="J136" s="47" t="s">
        <v>6</v>
      </c>
      <c r="K136" s="69"/>
    </row>
    <row r="137" customFormat="false" ht="15" hidden="false" customHeight="true" outlineLevel="1" collapsed="false">
      <c r="B137" s="37"/>
      <c r="C137" s="37"/>
      <c r="D137" s="53" t="n">
        <v>1</v>
      </c>
      <c r="E137" s="68"/>
      <c r="F137" s="68"/>
      <c r="G137" s="45" t="n">
        <v>2021</v>
      </c>
      <c r="H137" s="45"/>
      <c r="I137" s="45"/>
      <c r="J137" s="47" t="s">
        <v>6</v>
      </c>
      <c r="K137" s="69"/>
    </row>
    <row r="138" customFormat="false" ht="15" hidden="false" customHeight="true" outlineLevel="1" collapsed="false">
      <c r="B138" s="37"/>
      <c r="C138" s="37"/>
      <c r="D138" s="53" t="n">
        <v>1</v>
      </c>
      <c r="E138" s="68"/>
      <c r="F138" s="54"/>
      <c r="G138" s="45" t="n">
        <v>2016</v>
      </c>
      <c r="H138" s="45"/>
      <c r="I138" s="45"/>
      <c r="J138" s="47" t="s">
        <v>5</v>
      </c>
      <c r="K138" s="69"/>
    </row>
    <row r="139" customFormat="false" ht="15" hidden="false" customHeight="true" outlineLevel="1" collapsed="false">
      <c r="B139" s="81"/>
      <c r="C139" s="81"/>
      <c r="D139" s="58" t="n">
        <v>1</v>
      </c>
      <c r="E139" s="82"/>
      <c r="F139" s="59"/>
      <c r="G139" s="83" t="n">
        <v>2020</v>
      </c>
      <c r="H139" s="67"/>
      <c r="I139" s="67"/>
      <c r="J139" s="47" t="s">
        <v>6</v>
      </c>
      <c r="K139" s="69"/>
    </row>
    <row r="140" customFormat="false" ht="15" hidden="false" customHeight="true" outlineLevel="1" collapsed="false">
      <c r="B140" s="81"/>
      <c r="C140" s="81"/>
      <c r="D140" s="58" t="n">
        <v>1</v>
      </c>
      <c r="E140" s="82"/>
      <c r="F140" s="59"/>
      <c r="G140" s="83" t="n">
        <v>2020</v>
      </c>
      <c r="H140" s="67"/>
      <c r="I140" s="67"/>
      <c r="J140" s="47" t="s">
        <v>6</v>
      </c>
      <c r="K140" s="69"/>
    </row>
    <row r="141" customFormat="false" ht="15" hidden="false" customHeight="true" outlineLevel="1" collapsed="false">
      <c r="B141" s="37"/>
      <c r="C141" s="37"/>
      <c r="D141" s="53" t="n">
        <v>1</v>
      </c>
      <c r="E141" s="68"/>
      <c r="F141" s="68"/>
      <c r="G141" s="45" t="n">
        <v>2016</v>
      </c>
      <c r="H141" s="45"/>
      <c r="I141" s="45"/>
      <c r="J141" s="47" t="s">
        <v>5</v>
      </c>
      <c r="K141" s="69"/>
    </row>
    <row r="142" customFormat="false" ht="15" hidden="false" customHeight="true" outlineLevel="1" collapsed="false">
      <c r="B142" s="37"/>
      <c r="C142" s="37"/>
      <c r="D142" s="53" t="n">
        <v>1</v>
      </c>
      <c r="E142" s="68"/>
      <c r="F142" s="68"/>
      <c r="G142" s="45" t="n">
        <v>2019</v>
      </c>
      <c r="H142" s="45"/>
      <c r="I142" s="45"/>
      <c r="J142" s="47" t="s">
        <v>5</v>
      </c>
      <c r="K142" s="69"/>
    </row>
    <row r="143" customFormat="false" ht="15" hidden="false" customHeight="true" outlineLevel="1" collapsed="false">
      <c r="B143" s="37"/>
      <c r="C143" s="37"/>
      <c r="D143" s="53" t="n">
        <v>1</v>
      </c>
      <c r="E143" s="68"/>
      <c r="F143" s="68"/>
      <c r="G143" s="53" t="n">
        <v>2016</v>
      </c>
      <c r="H143" s="53"/>
      <c r="I143" s="53"/>
      <c r="J143" s="47" t="s">
        <v>5</v>
      </c>
      <c r="K143" s="69"/>
    </row>
    <row r="144" customFormat="false" ht="21" hidden="false" customHeight="true" outlineLevel="0" collapsed="false">
      <c r="A144" s="43" t="s">
        <v>12</v>
      </c>
      <c r="B144" s="43"/>
      <c r="C144" s="43"/>
      <c r="D144" s="43"/>
      <c r="E144" s="43"/>
      <c r="F144" s="43"/>
      <c r="G144" s="43"/>
      <c r="H144" s="43"/>
      <c r="I144" s="43"/>
      <c r="J144" s="43"/>
      <c r="K144" s="43"/>
    </row>
    <row r="145" customFormat="false" ht="15" hidden="false" customHeight="true" outlineLevel="1" collapsed="false">
      <c r="B145" s="84"/>
      <c r="C145" s="84"/>
      <c r="D145" s="85" t="n">
        <v>1</v>
      </c>
      <c r="E145" s="86"/>
      <c r="F145" s="86"/>
      <c r="G145" s="85" t="n">
        <v>2020</v>
      </c>
      <c r="H145" s="84"/>
      <c r="I145" s="85"/>
      <c r="J145" s="87" t="s">
        <v>6</v>
      </c>
      <c r="K145" s="88"/>
    </row>
    <row r="146" customFormat="false" ht="15" hidden="false" customHeight="true" outlineLevel="1" collapsed="false">
      <c r="B146" s="84"/>
      <c r="C146" s="84"/>
      <c r="D146" s="85" t="n">
        <v>1</v>
      </c>
      <c r="E146" s="86"/>
      <c r="F146" s="86"/>
      <c r="G146" s="85" t="n">
        <v>2017</v>
      </c>
      <c r="H146" s="84"/>
      <c r="I146" s="84"/>
      <c r="J146" s="87" t="s">
        <v>5</v>
      </c>
      <c r="K146" s="88"/>
    </row>
    <row r="147" customFormat="false" ht="15" hidden="false" customHeight="true" outlineLevel="1" collapsed="false">
      <c r="B147" s="37"/>
      <c r="C147" s="37"/>
      <c r="D147" s="53" t="n">
        <v>1</v>
      </c>
      <c r="E147" s="68"/>
      <c r="F147" s="68"/>
      <c r="G147" s="53" t="n">
        <v>2018</v>
      </c>
      <c r="H147" s="53"/>
      <c r="I147" s="53"/>
      <c r="J147" s="47" t="s">
        <v>5</v>
      </c>
      <c r="K147" s="69"/>
    </row>
    <row r="148" customFormat="false" ht="15" hidden="false" customHeight="true" outlineLevel="1" collapsed="false">
      <c r="B148" s="37"/>
      <c r="C148" s="37"/>
      <c r="D148" s="53" t="n">
        <v>1</v>
      </c>
      <c r="E148" s="68"/>
      <c r="F148" s="68"/>
      <c r="G148" s="53" t="n">
        <v>2020</v>
      </c>
      <c r="H148" s="53"/>
      <c r="I148" s="53"/>
      <c r="J148" s="47" t="s">
        <v>6</v>
      </c>
      <c r="K148" s="69"/>
    </row>
    <row r="149" customFormat="false" ht="15" hidden="false" customHeight="true" outlineLevel="1" collapsed="false">
      <c r="B149" s="37"/>
      <c r="C149" s="37"/>
      <c r="D149" s="53" t="n">
        <v>1</v>
      </c>
      <c r="E149" s="68"/>
      <c r="F149" s="68"/>
      <c r="G149" s="53" t="n">
        <v>2021</v>
      </c>
      <c r="H149" s="53"/>
      <c r="I149" s="53"/>
      <c r="J149" s="47" t="s">
        <v>6</v>
      </c>
      <c r="K149" s="69"/>
    </row>
    <row r="150" customFormat="false" ht="15" hidden="false" customHeight="true" outlineLevel="1" collapsed="false">
      <c r="B150" s="37"/>
      <c r="C150" s="37"/>
      <c r="D150" s="53" t="n">
        <v>1</v>
      </c>
      <c r="E150" s="68"/>
      <c r="F150" s="68"/>
      <c r="G150" s="53" t="n">
        <v>2016</v>
      </c>
      <c r="H150" s="53"/>
      <c r="I150" s="53"/>
      <c r="J150" s="47" t="s">
        <v>5</v>
      </c>
      <c r="K150" s="69"/>
    </row>
    <row r="151" customFormat="false" ht="15" hidden="false" customHeight="true" outlineLevel="1" collapsed="false">
      <c r="A151" s="89"/>
      <c r="B151" s="81"/>
      <c r="C151" s="81"/>
      <c r="D151" s="58" t="n">
        <v>1</v>
      </c>
      <c r="E151" s="82"/>
      <c r="F151" s="82"/>
      <c r="G151" s="83" t="n">
        <v>2020</v>
      </c>
      <c r="H151" s="67"/>
      <c r="I151" s="67"/>
      <c r="J151" s="47" t="s">
        <v>6</v>
      </c>
      <c r="K151" s="69"/>
    </row>
    <row r="152" customFormat="false" ht="15" hidden="false" customHeight="true" outlineLevel="1" collapsed="false">
      <c r="B152" s="37"/>
      <c r="C152" s="37"/>
      <c r="D152" s="53" t="n">
        <v>1</v>
      </c>
      <c r="E152" s="68"/>
      <c r="F152" s="68"/>
      <c r="G152" s="45" t="n">
        <v>2020</v>
      </c>
      <c r="H152" s="45"/>
      <c r="I152" s="45"/>
      <c r="J152" s="47" t="s">
        <v>6</v>
      </c>
      <c r="K152" s="69"/>
    </row>
    <row r="153" customFormat="false" ht="15" hidden="false" customHeight="true" outlineLevel="1" collapsed="false">
      <c r="B153" s="37"/>
      <c r="C153" s="37"/>
      <c r="D153" s="53" t="n">
        <v>1</v>
      </c>
      <c r="E153" s="68"/>
      <c r="F153" s="68"/>
      <c r="G153" s="45" t="n">
        <v>2016</v>
      </c>
      <c r="H153" s="45"/>
      <c r="I153" s="45"/>
      <c r="J153" s="47" t="s">
        <v>5</v>
      </c>
      <c r="K153" s="69"/>
    </row>
    <row r="154" customFormat="false" ht="15" hidden="false" customHeight="true" outlineLevel="1" collapsed="false">
      <c r="B154" s="37"/>
      <c r="C154" s="37"/>
      <c r="D154" s="53" t="n">
        <v>1</v>
      </c>
      <c r="E154" s="68"/>
      <c r="F154" s="68"/>
      <c r="G154" s="45" t="n">
        <v>2018</v>
      </c>
      <c r="H154" s="45"/>
      <c r="I154" s="45"/>
      <c r="J154" s="70" t="s">
        <v>5</v>
      </c>
      <c r="K154" s="69"/>
    </row>
    <row r="155" customFormat="false" ht="15" hidden="false" customHeight="true" outlineLevel="1" collapsed="false">
      <c r="B155" s="52"/>
      <c r="C155" s="52"/>
      <c r="D155" s="53" t="n">
        <v>1</v>
      </c>
      <c r="E155" s="54"/>
      <c r="F155" s="68"/>
      <c r="G155" s="45" t="n">
        <v>2014</v>
      </c>
      <c r="H155" s="45"/>
      <c r="I155" s="45"/>
      <c r="J155" s="47" t="s">
        <v>5</v>
      </c>
      <c r="K155" s="56"/>
    </row>
    <row r="156" customFormat="false" ht="15" hidden="false" customHeight="true" outlineLevel="1" collapsed="false">
      <c r="B156" s="37"/>
      <c r="C156" s="37"/>
      <c r="D156" s="53" t="n">
        <v>1</v>
      </c>
      <c r="E156" s="68"/>
      <c r="F156" s="68"/>
      <c r="G156" s="53" t="n">
        <v>2016</v>
      </c>
      <c r="H156" s="53"/>
      <c r="I156" s="53"/>
      <c r="J156" s="47" t="s">
        <v>5</v>
      </c>
      <c r="K156" s="69"/>
    </row>
    <row r="157" customFormat="false" ht="15" hidden="false" customHeight="true" outlineLevel="1" collapsed="false">
      <c r="B157" s="37"/>
      <c r="C157" s="37"/>
      <c r="D157" s="53" t="n">
        <v>1</v>
      </c>
      <c r="E157" s="68"/>
      <c r="F157" s="68"/>
      <c r="G157" s="53" t="n">
        <v>2016</v>
      </c>
      <c r="H157" s="53"/>
      <c r="I157" s="53"/>
      <c r="J157" s="47" t="s">
        <v>5</v>
      </c>
      <c r="K157" s="69"/>
    </row>
    <row r="158" customFormat="false" ht="15" hidden="false" customHeight="true" outlineLevel="1" collapsed="false">
      <c r="B158" s="52"/>
      <c r="C158" s="52"/>
      <c r="D158" s="53" t="n">
        <v>1</v>
      </c>
      <c r="E158" s="54"/>
      <c r="F158" s="68"/>
      <c r="G158" s="45" t="n">
        <v>2014</v>
      </c>
      <c r="H158" s="45"/>
      <c r="I158" s="45"/>
      <c r="J158" s="47" t="s">
        <v>5</v>
      </c>
      <c r="K158" s="56"/>
    </row>
    <row r="159" customFormat="false" ht="15" hidden="false" customHeight="true" outlineLevel="1" collapsed="false">
      <c r="B159" s="52"/>
      <c r="C159" s="52"/>
      <c r="D159" s="53" t="n">
        <v>1</v>
      </c>
      <c r="E159" s="54"/>
      <c r="F159" s="68"/>
      <c r="G159" s="45" t="n">
        <v>2020</v>
      </c>
      <c r="H159" s="45"/>
      <c r="I159" s="45"/>
      <c r="J159" s="47" t="s">
        <v>5</v>
      </c>
      <c r="K159" s="56"/>
    </row>
    <row r="160" customFormat="false" ht="21" hidden="false" customHeight="true" outlineLevel="1" collapsed="false">
      <c r="B160" s="52"/>
      <c r="C160" s="52"/>
      <c r="D160" s="53" t="n">
        <v>1</v>
      </c>
      <c r="E160" s="54"/>
      <c r="F160" s="68"/>
      <c r="G160" s="45" t="n">
        <v>2018</v>
      </c>
      <c r="H160" s="45"/>
      <c r="I160" s="45"/>
      <c r="J160" s="47" t="s">
        <v>5</v>
      </c>
      <c r="K160" s="56"/>
    </row>
    <row r="161" customFormat="false" ht="15" hidden="false" customHeight="true" outlineLevel="1" collapsed="false">
      <c r="B161" s="52"/>
      <c r="C161" s="52"/>
      <c r="D161" s="53" t="n">
        <v>1</v>
      </c>
      <c r="E161" s="54"/>
      <c r="F161" s="68"/>
      <c r="G161" s="53" t="n">
        <v>2016</v>
      </c>
      <c r="H161" s="53"/>
      <c r="I161" s="53"/>
      <c r="J161" s="47" t="s">
        <v>5</v>
      </c>
      <c r="K161" s="56"/>
    </row>
    <row r="162" customFormat="false" ht="15" hidden="false" customHeight="true" outlineLevel="1" collapsed="false">
      <c r="B162" s="52"/>
      <c r="C162" s="52"/>
      <c r="D162" s="53" t="n">
        <v>1</v>
      </c>
      <c r="E162" s="54"/>
      <c r="F162" s="68"/>
      <c r="G162" s="53" t="n">
        <v>2017</v>
      </c>
      <c r="H162" s="53"/>
      <c r="I162" s="53"/>
      <c r="J162" s="47" t="s">
        <v>5</v>
      </c>
      <c r="K162" s="56"/>
    </row>
    <row r="163" customFormat="false" ht="15" hidden="false" customHeight="true" outlineLevel="1" collapsed="false">
      <c r="B163" s="37"/>
      <c r="C163" s="37"/>
      <c r="D163" s="53" t="n">
        <v>1</v>
      </c>
      <c r="E163" s="68"/>
      <c r="F163" s="68"/>
      <c r="G163" s="53" t="n">
        <v>2016</v>
      </c>
      <c r="H163" s="53"/>
      <c r="I163" s="53"/>
      <c r="J163" s="47" t="s">
        <v>5</v>
      </c>
      <c r="K163" s="69"/>
    </row>
    <row r="164" customFormat="false" ht="15" hidden="false" customHeight="true" outlineLevel="1" collapsed="false">
      <c r="B164" s="37"/>
      <c r="C164" s="37"/>
      <c r="D164" s="53" t="n">
        <v>1</v>
      </c>
      <c r="E164" s="68"/>
      <c r="F164" s="68"/>
      <c r="G164" s="53" t="n">
        <v>2016</v>
      </c>
      <c r="H164" s="53"/>
      <c r="I164" s="53"/>
      <c r="J164" s="47" t="s">
        <v>5</v>
      </c>
      <c r="K164" s="69"/>
    </row>
    <row r="165" customFormat="false" ht="15" hidden="false" customHeight="true" outlineLevel="1" collapsed="false">
      <c r="B165" s="37"/>
      <c r="C165" s="37"/>
      <c r="D165" s="53" t="n">
        <v>1</v>
      </c>
      <c r="E165" s="68"/>
      <c r="F165" s="68"/>
      <c r="G165" s="53" t="n">
        <v>2018</v>
      </c>
      <c r="H165" s="53"/>
      <c r="I165" s="53"/>
      <c r="J165" s="47" t="s">
        <v>5</v>
      </c>
      <c r="K165" s="69"/>
    </row>
    <row r="166" customFormat="false" ht="15" hidden="false" customHeight="true" outlineLevel="1" collapsed="false">
      <c r="B166" s="52"/>
      <c r="C166" s="52"/>
      <c r="D166" s="53" t="n">
        <v>1</v>
      </c>
      <c r="E166" s="54"/>
      <c r="F166" s="68"/>
      <c r="G166" s="53" t="n">
        <v>2016</v>
      </c>
      <c r="H166" s="53"/>
      <c r="I166" s="53"/>
      <c r="J166" s="47" t="s">
        <v>5</v>
      </c>
      <c r="K166" s="56"/>
    </row>
    <row r="167" customFormat="false" ht="15" hidden="false" customHeight="true" outlineLevel="1" collapsed="false">
      <c r="B167" s="52"/>
      <c r="C167" s="52"/>
      <c r="D167" s="53" t="n">
        <v>1</v>
      </c>
      <c r="E167" s="54"/>
      <c r="F167" s="68"/>
      <c r="G167" s="45" t="n">
        <v>2017</v>
      </c>
      <c r="H167" s="45"/>
      <c r="I167" s="45"/>
      <c r="J167" s="55" t="s">
        <v>5</v>
      </c>
      <c r="K167" s="56"/>
    </row>
    <row r="168" customFormat="false" ht="15" hidden="false" customHeight="true" outlineLevel="1" collapsed="false">
      <c r="B168" s="52"/>
      <c r="C168" s="52"/>
      <c r="D168" s="53" t="n">
        <v>1</v>
      </c>
      <c r="E168" s="54"/>
      <c r="F168" s="68"/>
      <c r="G168" s="45" t="n">
        <v>2018</v>
      </c>
      <c r="H168" s="45"/>
      <c r="I168" s="45"/>
      <c r="J168" s="47" t="s">
        <v>5</v>
      </c>
      <c r="K168" s="64"/>
    </row>
    <row r="169" customFormat="false" ht="15" hidden="false" customHeight="true" outlineLevel="1" collapsed="false">
      <c r="B169" s="52"/>
      <c r="C169" s="52"/>
      <c r="D169" s="53" t="n">
        <v>1</v>
      </c>
      <c r="E169" s="54"/>
      <c r="F169" s="68"/>
      <c r="G169" s="45" t="n">
        <v>2019</v>
      </c>
      <c r="H169" s="45"/>
      <c r="I169" s="45"/>
      <c r="J169" s="47" t="s">
        <v>5</v>
      </c>
      <c r="K169" s="64"/>
    </row>
    <row r="170" customFormat="false" ht="15" hidden="false" customHeight="true" outlineLevel="1" collapsed="false">
      <c r="B170" s="37"/>
      <c r="C170" s="37"/>
      <c r="D170" s="53" t="n">
        <v>1</v>
      </c>
      <c r="E170" s="68"/>
      <c r="F170" s="68"/>
      <c r="G170" s="45" t="n">
        <v>2016</v>
      </c>
      <c r="H170" s="45"/>
      <c r="I170" s="45"/>
      <c r="J170" s="47" t="s">
        <v>5</v>
      </c>
      <c r="K170" s="90"/>
    </row>
    <row r="171" customFormat="false" ht="15" hidden="false" customHeight="true" outlineLevel="1" collapsed="false">
      <c r="B171" s="37"/>
      <c r="C171" s="37"/>
      <c r="D171" s="53" t="n">
        <v>1</v>
      </c>
      <c r="E171" s="68"/>
      <c r="F171" s="68"/>
      <c r="G171" s="45" t="n">
        <v>2018</v>
      </c>
      <c r="H171" s="45"/>
      <c r="I171" s="45"/>
      <c r="J171" s="47" t="s">
        <v>5</v>
      </c>
      <c r="K171" s="90"/>
    </row>
    <row r="172" customFormat="false" ht="15" hidden="false" customHeight="true" outlineLevel="1" collapsed="false">
      <c r="B172" s="37"/>
      <c r="C172" s="37"/>
      <c r="D172" s="53" t="n">
        <v>1</v>
      </c>
      <c r="E172" s="68"/>
      <c r="F172" s="68"/>
      <c r="G172" s="45" t="n">
        <v>2018</v>
      </c>
      <c r="H172" s="45"/>
      <c r="I172" s="45"/>
      <c r="J172" s="47" t="s">
        <v>5</v>
      </c>
      <c r="K172" s="90"/>
    </row>
    <row r="173" customFormat="false" ht="15" hidden="false" customHeight="true" outlineLevel="1" collapsed="false">
      <c r="B173" s="37"/>
      <c r="C173" s="37"/>
      <c r="D173" s="53" t="n">
        <v>1</v>
      </c>
      <c r="E173" s="68"/>
      <c r="F173" s="68"/>
      <c r="G173" s="45" t="n">
        <v>2020</v>
      </c>
      <c r="H173" s="45"/>
      <c r="I173" s="45"/>
      <c r="J173" s="47" t="s">
        <v>6</v>
      </c>
      <c r="K173" s="90"/>
    </row>
    <row r="174" customFormat="false" ht="15" hidden="false" customHeight="true" outlineLevel="1" collapsed="false">
      <c r="B174" s="37"/>
      <c r="C174" s="37"/>
      <c r="D174" s="53" t="n">
        <v>1</v>
      </c>
      <c r="E174" s="68"/>
      <c r="F174" s="68"/>
      <c r="G174" s="45" t="n">
        <v>2019</v>
      </c>
      <c r="H174" s="45"/>
      <c r="I174" s="45"/>
      <c r="J174" s="47" t="s">
        <v>5</v>
      </c>
      <c r="K174" s="90"/>
    </row>
    <row r="175" customFormat="false" ht="15" hidden="false" customHeight="true" outlineLevel="1" collapsed="false">
      <c r="B175" s="81"/>
      <c r="C175" s="81"/>
      <c r="D175" s="58" t="n">
        <v>1</v>
      </c>
      <c r="E175" s="82"/>
      <c r="F175" s="82"/>
      <c r="G175" s="83" t="n">
        <v>2020</v>
      </c>
      <c r="H175" s="67"/>
      <c r="I175" s="67"/>
      <c r="J175" s="47" t="s">
        <v>6</v>
      </c>
      <c r="K175" s="90"/>
    </row>
    <row r="176" customFormat="false" ht="15" hidden="false" customHeight="true" outlineLevel="1" collapsed="false">
      <c r="B176" s="81"/>
      <c r="C176" s="81"/>
      <c r="D176" s="58" t="n">
        <v>1</v>
      </c>
      <c r="E176" s="82"/>
      <c r="F176" s="82"/>
      <c r="G176" s="83" t="n">
        <v>2020</v>
      </c>
      <c r="H176" s="67"/>
      <c r="I176" s="67"/>
      <c r="J176" s="47" t="s">
        <v>6</v>
      </c>
      <c r="K176" s="90"/>
    </row>
    <row r="177" customFormat="false" ht="15" hidden="false" customHeight="true" outlineLevel="1" collapsed="false">
      <c r="B177" s="37"/>
      <c r="C177" s="37"/>
      <c r="D177" s="53" t="n">
        <v>1</v>
      </c>
      <c r="E177" s="68"/>
      <c r="F177" s="68"/>
      <c r="G177" s="53" t="n">
        <v>2016</v>
      </c>
      <c r="H177" s="53"/>
      <c r="I177" s="53"/>
      <c r="J177" s="47" t="s">
        <v>5</v>
      </c>
      <c r="K177" s="69"/>
    </row>
    <row r="178" customFormat="false" ht="15" hidden="false" customHeight="true" outlineLevel="1" collapsed="false">
      <c r="B178" s="37"/>
      <c r="C178" s="37"/>
      <c r="D178" s="53" t="n">
        <v>1</v>
      </c>
      <c r="E178" s="68"/>
      <c r="F178" s="68"/>
      <c r="G178" s="53" t="n">
        <v>2019</v>
      </c>
      <c r="H178" s="53"/>
      <c r="I178" s="53"/>
      <c r="J178" s="47" t="s">
        <v>6</v>
      </c>
      <c r="K178" s="69"/>
    </row>
    <row r="179" customFormat="false" ht="15" hidden="false" customHeight="true" outlineLevel="1" collapsed="false">
      <c r="B179" s="37"/>
      <c r="C179" s="37"/>
      <c r="D179" s="53" t="n">
        <v>1</v>
      </c>
      <c r="E179" s="68"/>
      <c r="F179" s="68"/>
      <c r="G179" s="53" t="n">
        <v>2018</v>
      </c>
      <c r="H179" s="53"/>
      <c r="I179" s="53"/>
      <c r="J179" s="47" t="s">
        <v>5</v>
      </c>
      <c r="K179" s="69"/>
    </row>
    <row r="180" customFormat="false" ht="15" hidden="false" customHeight="true" outlineLevel="1" collapsed="false">
      <c r="B180" s="37"/>
      <c r="C180" s="37"/>
      <c r="D180" s="53" t="n">
        <v>1</v>
      </c>
      <c r="E180" s="68"/>
      <c r="F180" s="68"/>
      <c r="G180" s="53" t="n">
        <v>2018</v>
      </c>
      <c r="H180" s="53"/>
      <c r="I180" s="53"/>
      <c r="J180" s="47" t="s">
        <v>5</v>
      </c>
      <c r="K180" s="69"/>
    </row>
    <row r="181" customFormat="false" ht="15" hidden="false" customHeight="true" outlineLevel="1" collapsed="false">
      <c r="B181" s="37"/>
      <c r="C181" s="37"/>
      <c r="D181" s="53" t="n">
        <v>1</v>
      </c>
      <c r="E181" s="68"/>
      <c r="F181" s="68"/>
      <c r="G181" s="53" t="n">
        <v>2021</v>
      </c>
      <c r="H181" s="53"/>
      <c r="I181" s="53"/>
      <c r="J181" s="47" t="s">
        <v>6</v>
      </c>
      <c r="K181" s="69"/>
    </row>
    <row r="182" customFormat="false" ht="15" hidden="false" customHeight="true" outlineLevel="1" collapsed="false">
      <c r="B182" s="37"/>
      <c r="C182" s="37"/>
      <c r="D182" s="53" t="n">
        <v>1</v>
      </c>
      <c r="E182" s="68"/>
      <c r="F182" s="68"/>
      <c r="G182" s="53" t="n">
        <v>2018</v>
      </c>
      <c r="H182" s="53"/>
      <c r="I182" s="53"/>
      <c r="J182" s="47" t="s">
        <v>5</v>
      </c>
      <c r="K182" s="69"/>
    </row>
    <row r="183" customFormat="false" ht="15" hidden="false" customHeight="true" outlineLevel="1" collapsed="false">
      <c r="B183" s="52"/>
      <c r="C183" s="52"/>
      <c r="D183" s="53" t="n">
        <v>1</v>
      </c>
      <c r="E183" s="54"/>
      <c r="F183" s="68"/>
      <c r="G183" s="53" t="n">
        <v>2016</v>
      </c>
      <c r="H183" s="53"/>
      <c r="I183" s="53"/>
      <c r="J183" s="47" t="s">
        <v>5</v>
      </c>
      <c r="K183" s="56"/>
    </row>
    <row r="184" customFormat="false" ht="15" hidden="false" customHeight="true" outlineLevel="1" collapsed="false">
      <c r="B184" s="37"/>
      <c r="C184" s="37"/>
      <c r="D184" s="53" t="n">
        <v>1</v>
      </c>
      <c r="E184" s="68"/>
      <c r="F184" s="68"/>
      <c r="G184" s="45" t="n">
        <v>2018</v>
      </c>
      <c r="H184" s="45"/>
      <c r="I184" s="45"/>
      <c r="J184" s="70" t="s">
        <v>5</v>
      </c>
      <c r="K184" s="69"/>
    </row>
    <row r="185" customFormat="false" ht="15" hidden="false" customHeight="true" outlineLevel="1" collapsed="false">
      <c r="B185" s="52"/>
      <c r="C185" s="52"/>
      <c r="D185" s="53" t="n">
        <v>1</v>
      </c>
      <c r="E185" s="54"/>
      <c r="F185" s="46"/>
      <c r="G185" s="45" t="n">
        <v>2014</v>
      </c>
      <c r="H185" s="45"/>
      <c r="I185" s="45"/>
      <c r="J185" s="47" t="s">
        <v>5</v>
      </c>
      <c r="K185" s="56"/>
    </row>
  </sheetData>
  <autoFilter ref="B1:M185"/>
  <mergeCells count="4">
    <mergeCell ref="B2:C11"/>
    <mergeCell ref="A13:K13"/>
    <mergeCell ref="A54:K54"/>
    <mergeCell ref="A144:K144"/>
  </mergeCells>
  <conditionalFormatting sqref="B16:C17">
    <cfRule type="expression" priority="2" aboveAverage="0" equalAverage="0" bottom="0" percent="0" rank="0" text="" dxfId="11">
      <formula>$C16=""</formula>
    </cfRule>
    <cfRule type="expression" priority="3" aboveAverage="0" equalAverage="0" bottom="0" percent="0" rank="0" text="" dxfId="11">
      <formula>$C16=""</formula>
    </cfRule>
  </conditionalFormatting>
  <conditionalFormatting sqref="J16:J17">
    <cfRule type="containsText" priority="4" operator="containsText" aboveAverage="0" equalAverage="0" bottom="0" percent="0" rank="0" text="open" dxfId="12">
      <formula>NOT(ISERROR(SEARCH("open",J16)))</formula>
    </cfRule>
    <cfRule type="containsText" priority="5" operator="containsText" aboveAverage="0" equalAverage="0" bottom="0" percent="0" rank="0" text="na" dxfId="13">
      <formula>NOT(ISERROR(SEARCH("na",J16)))</formula>
    </cfRule>
  </conditionalFormatting>
  <conditionalFormatting sqref="B76:C77">
    <cfRule type="expression" priority="6" aboveAverage="0" equalAverage="0" bottom="0" percent="0" rank="0" text="" dxfId="11">
      <formula>$C76=""</formula>
    </cfRule>
    <cfRule type="expression" priority="7" aboveAverage="0" equalAverage="0" bottom="0" percent="0" rank="0" text="" dxfId="11">
      <formula>$C76=""</formula>
    </cfRule>
  </conditionalFormatting>
  <conditionalFormatting sqref="J76:J77">
    <cfRule type="containsText" priority="8" operator="containsText" aboveAverage="0" equalAverage="0" bottom="0" percent="0" rank="0" text="open" dxfId="12">
      <formula>NOT(ISERROR(SEARCH("open",J76)))</formula>
    </cfRule>
    <cfRule type="containsText" priority="9" operator="containsText" aboveAverage="0" equalAverage="0" bottom="0" percent="0" rank="0" text="na" dxfId="13">
      <formula>NOT(ISERROR(SEARCH("na",J76)))</formula>
    </cfRule>
  </conditionalFormatting>
  <conditionalFormatting sqref="J174:J176">
    <cfRule type="containsText" priority="10" operator="containsText" aboveAverage="0" equalAverage="0" bottom="0" percent="0" rank="0" text="open" dxfId="12">
      <formula>NOT(ISERROR(SEARCH("open",J174)))</formula>
    </cfRule>
    <cfRule type="containsText" priority="11" operator="containsText" aboveAverage="0" equalAverage="0" bottom="0" percent="0" rank="0" text="na" dxfId="13">
      <formula>NOT(ISERROR(SEARCH("na",J174)))</formula>
    </cfRule>
  </conditionalFormatting>
  <conditionalFormatting sqref="B174:C176">
    <cfRule type="expression" priority="12" aboveAverage="0" equalAverage="0" bottom="0" percent="0" rank="0" text="" dxfId="11">
      <formula>$C174=""</formula>
    </cfRule>
    <cfRule type="expression" priority="13" aboveAverage="0" equalAverage="0" bottom="0" percent="0" rank="0" text="" dxfId="11">
      <formula>$C174=""</formula>
    </cfRule>
  </conditionalFormatting>
  <conditionalFormatting sqref="B18:C19">
    <cfRule type="expression" priority="14" aboveAverage="0" equalAverage="0" bottom="0" percent="0" rank="0" text="" dxfId="11">
      <formula>$C18=""</formula>
    </cfRule>
    <cfRule type="expression" priority="15" aboveAverage="0" equalAverage="0" bottom="0" percent="0" rank="0" text="" dxfId="11">
      <formula>$C18=""</formula>
    </cfRule>
  </conditionalFormatting>
  <conditionalFormatting sqref="J18:J19">
    <cfRule type="containsText" priority="16" operator="containsText" aboveAverage="0" equalAverage="0" bottom="0" percent="0" rank="0" text="open" dxfId="12">
      <formula>NOT(ISERROR(SEARCH("open",J18)))</formula>
    </cfRule>
    <cfRule type="containsText" priority="17" operator="containsText" aboveAverage="0" equalAverage="0" bottom="0" percent="0" rank="0" text="na" dxfId="13">
      <formula>NOT(ISERROR(SEARCH("na",J18)))</formula>
    </cfRule>
  </conditionalFormatting>
  <conditionalFormatting sqref="B49:C50">
    <cfRule type="expression" priority="18" aboveAverage="0" equalAverage="0" bottom="0" percent="0" rank="0" text="" dxfId="11">
      <formula>$C49=""</formula>
    </cfRule>
    <cfRule type="expression" priority="19" aboveAverage="0" equalAverage="0" bottom="0" percent="0" rank="0" text="" dxfId="11">
      <formula>$C49=""</formula>
    </cfRule>
  </conditionalFormatting>
  <conditionalFormatting sqref="J49:J50">
    <cfRule type="containsText" priority="20" operator="containsText" aboveAverage="0" equalAverage="0" bottom="0" percent="0" rank="0" text="open" dxfId="12">
      <formula>NOT(ISERROR(SEARCH("open",J49)))</formula>
    </cfRule>
    <cfRule type="containsText" priority="21" operator="containsText" aboveAverage="0" equalAverage="0" bottom="0" percent="0" rank="0" text="na" dxfId="13">
      <formula>NOT(ISERROR(SEARCH("na",J49)))</formula>
    </cfRule>
  </conditionalFormatting>
  <conditionalFormatting sqref="J168:J169">
    <cfRule type="containsText" priority="22" operator="containsText" aboveAverage="0" equalAverage="0" bottom="0" percent="0" rank="0" text="open" dxfId="12">
      <formula>NOT(ISERROR(SEARCH("open",J168)))</formula>
    </cfRule>
    <cfRule type="containsText" priority="23" operator="containsText" aboveAverage="0" equalAverage="0" bottom="0" percent="0" rank="0" text="na" dxfId="13">
      <formula>NOT(ISERROR(SEARCH("na",J168)))</formula>
    </cfRule>
  </conditionalFormatting>
  <conditionalFormatting sqref="J93">
    <cfRule type="containsText" priority="24" operator="containsText" aboveAverage="0" equalAverage="0" bottom="0" percent="0" rank="0" text="open" dxfId="12">
      <formula>NOT(ISERROR(SEARCH("open",J93)))</formula>
    </cfRule>
    <cfRule type="containsText" priority="25" operator="containsText" aboveAverage="0" equalAverage="0" bottom="0" percent="0" rank="0" text="na" dxfId="13">
      <formula>NOT(ISERROR(SEARCH("na",J93)))</formula>
    </cfRule>
  </conditionalFormatting>
  <conditionalFormatting sqref="J120:J121">
    <cfRule type="containsText" priority="26" operator="containsText" aboveAverage="0" equalAverage="0" bottom="0" percent="0" rank="0" text="open" dxfId="12">
      <formula>NOT(ISERROR(SEARCH("open",J120)))</formula>
    </cfRule>
    <cfRule type="containsText" priority="27" operator="containsText" aboveAverage="0" equalAverage="0" bottom="0" percent="0" rank="0" text="na" dxfId="13">
      <formula>NOT(ISERROR(SEARCH("na",J120)))</formula>
    </cfRule>
  </conditionalFormatting>
  <conditionalFormatting sqref="J172:J173">
    <cfRule type="containsText" priority="28" operator="containsText" aboveAverage="0" equalAverage="0" bottom="0" percent="0" rank="0" text="open" dxfId="12">
      <formula>NOT(ISERROR(SEARCH("open",J172)))</formula>
    </cfRule>
    <cfRule type="containsText" priority="29" operator="containsText" aboveAverage="0" equalAverage="0" bottom="0" percent="0" rank="0" text="na" dxfId="13">
      <formula>NOT(ISERROR(SEARCH("na",J172)))</formula>
    </cfRule>
  </conditionalFormatting>
  <conditionalFormatting sqref="J106:J109">
    <cfRule type="containsText" priority="30" operator="containsText" aboveAverage="0" equalAverage="0" bottom="0" percent="0" rank="0" text="open" dxfId="12">
      <formula>NOT(ISERROR(SEARCH("open",J106)))</formula>
    </cfRule>
    <cfRule type="containsText" priority="31" operator="containsText" aboveAverage="0" equalAverage="0" bottom="0" percent="0" rank="0" text="na" dxfId="13">
      <formula>NOT(ISERROR(SEARCH("na",J106)))</formula>
    </cfRule>
  </conditionalFormatting>
  <conditionalFormatting sqref="J25:J26">
    <cfRule type="containsText" priority="32" operator="containsText" aboveAverage="0" equalAverage="0" bottom="0" percent="0" rank="0" text="open" dxfId="12">
      <formula>NOT(ISERROR(SEARCH("open",J25)))</formula>
    </cfRule>
    <cfRule type="containsText" priority="33" operator="containsText" aboveAverage="0" equalAverage="0" bottom="0" percent="0" rank="0" text="na" dxfId="13">
      <formula>NOT(ISERROR(SEARCH("na",J25)))</formula>
    </cfRule>
  </conditionalFormatting>
  <conditionalFormatting sqref="B14:C15">
    <cfRule type="expression" priority="34" aboveAverage="0" equalAverage="0" bottom="0" percent="0" rank="0" text="" dxfId="11">
      <formula>$C14=""</formula>
    </cfRule>
    <cfRule type="expression" priority="35" aboveAverage="0" equalAverage="0" bottom="0" percent="0" rank="0" text="" dxfId="11">
      <formula>$C14=""</formula>
    </cfRule>
  </conditionalFormatting>
  <conditionalFormatting sqref="G186:G1047468">
    <cfRule type="expression" priority="36" aboveAverage="0" equalAverage="0" bottom="0" percent="0" rank="0" text="" dxfId="14">
      <formula>IF(J195:J619, "open")</formula>
    </cfRule>
  </conditionalFormatting>
  <conditionalFormatting sqref="B20:C48 B51:C53 B55:C75 B78:C143 B145:C173 B177:C185">
    <cfRule type="expression" priority="37" aboveAverage="0" equalAverage="0" bottom="0" percent="0" rank="0" text="" dxfId="11">
      <formula>$C20=""</formula>
    </cfRule>
    <cfRule type="expression" priority="38" aboveAverage="0" equalAverage="0" bottom="0" percent="0" rank="0" text="" dxfId="11">
      <formula>$C20=""</formula>
    </cfRule>
  </conditionalFormatting>
  <conditionalFormatting sqref="J14:J15 J20:J24 J27:J48 J51:J53 J55:J75 J78:J92 J94:J105 J110:J119 J122:J143 J145:J167 J170:J171 J177:J686">
    <cfRule type="containsText" priority="39" operator="containsText" aboveAverage="0" equalAverage="0" bottom="0" percent="0" rank="0" text="open" dxfId="12">
      <formula>NOT(ISERROR(SEARCH("open",J14)))</formula>
    </cfRule>
  </conditionalFormatting>
  <conditionalFormatting sqref="J14:J15 J20:J24 J27:J48 J51:J53 J55:J75 J78:J92 J94:J105 J110:J119 J122:J143 J145:J167 J170:J171 J177:J185">
    <cfRule type="containsText" priority="40" operator="containsText" aboveAverage="0" equalAverage="0" bottom="0" percent="0" rank="0" text="na" dxfId="13">
      <formula>NOT(ISERROR(SEARCH("na",J14)))</formula>
    </cfRule>
  </conditionalFormatting>
  <conditionalFormatting sqref="G1047886">
    <cfRule type="expression" priority="41" aboveAverage="0" equalAverage="0" bottom="0" percent="0" rank="0" text="" dxfId="14">
      <formula>IF(J1:J1047895, "open")</formula>
    </cfRule>
  </conditionalFormatting>
  <conditionalFormatting sqref="G1047885">
    <cfRule type="expression" priority="42" aboveAverage="0" equalAverage="0" bottom="0" percent="0" rank="0" text="" dxfId="14">
      <formula>IF(J1:J1047894, "open")</formula>
    </cfRule>
  </conditionalFormatting>
  <conditionalFormatting sqref="G1047884">
    <cfRule type="expression" priority="43" aboveAverage="0" equalAverage="0" bottom="0" percent="0" rank="0" text="" dxfId="14">
      <formula>IF(J1:J1047893, "open")</formula>
    </cfRule>
  </conditionalFormatting>
  <conditionalFormatting sqref="G1047883">
    <cfRule type="expression" priority="44" aboveAverage="0" equalAverage="0" bottom="0" percent="0" rank="0" text="" dxfId="14">
      <formula>IF(J1:J1047892, "open")</formula>
    </cfRule>
  </conditionalFormatting>
  <conditionalFormatting sqref="G1047882">
    <cfRule type="expression" priority="45" aboveAverage="0" equalAverage="0" bottom="0" percent="0" rank="0" text="" dxfId="14">
      <formula>IF(J1:J1047891, "open")</formula>
    </cfRule>
  </conditionalFormatting>
  <conditionalFormatting sqref="G54">
    <cfRule type="expression" priority="46" aboveAverage="0" equalAverage="0" bottom="0" percent="0" rank="0" text="" dxfId="14">
      <formula>IF(J72:J205, "open")</formula>
    </cfRule>
  </conditionalFormatting>
  <conditionalFormatting sqref="G155">
    <cfRule type="expression" priority="47" aboveAverage="0" equalAverage="0" bottom="0" percent="0" rank="0" text="" dxfId="14">
      <formula>IF(J167:J251, "open")</formula>
    </cfRule>
  </conditionalFormatting>
  <conditionalFormatting sqref="G93">
    <cfRule type="expression" priority="48" aboveAverage="0" equalAverage="0" bottom="0" percent="0" rank="0" text="" dxfId="14">
      <formula>IF(J112:J224, "open")</formula>
    </cfRule>
  </conditionalFormatting>
  <conditionalFormatting sqref="G144">
    <cfRule type="expression" priority="49" aboveAverage="0" equalAverage="0" bottom="0" percent="0" rank="0" text="" dxfId="14">
      <formula>IF(J163:J248, "open")</formula>
    </cfRule>
  </conditionalFormatting>
  <conditionalFormatting sqref="G156">
    <cfRule type="expression" priority="50" aboveAverage="0" equalAverage="0" bottom="0" percent="0" rank="0" text="" dxfId="14">
      <formula>IF(J170:J252, "open")</formula>
    </cfRule>
  </conditionalFormatting>
  <conditionalFormatting sqref="G157">
    <cfRule type="expression" priority="51" aboveAverage="0" equalAverage="0" bottom="0" percent="0" rank="0" text="" dxfId="14">
      <formula>IF(J177:J253, "open")</formula>
    </cfRule>
  </conditionalFormatting>
  <conditionalFormatting sqref="G53">
    <cfRule type="expression" priority="52" aboveAverage="0" equalAverage="0" bottom="0" percent="0" rank="0" text="" dxfId="14">
      <formula>IF(J68:J204, "open")</formula>
    </cfRule>
  </conditionalFormatting>
  <conditionalFormatting sqref="G34">
    <cfRule type="expression" priority="53" aboveAverage="0" equalAverage="0" bottom="0" percent="0" rank="0" text="" dxfId="14">
      <formula>IF(J53:J195, "open")</formula>
    </cfRule>
  </conditionalFormatting>
  <conditionalFormatting sqref="G35">
    <cfRule type="expression" priority="54" aboveAverage="0" equalAverage="0" bottom="0" percent="0" rank="0" text="" dxfId="14">
      <formula>IF(J51:J194, "open")</formula>
    </cfRule>
  </conditionalFormatting>
  <conditionalFormatting sqref="G143">
    <cfRule type="expression" priority="55" aboveAverage="0" equalAverage="0" bottom="0" percent="0" rank="0" text="" dxfId="14">
      <formula>IF(J161:J247, "open")</formula>
    </cfRule>
  </conditionalFormatting>
  <conditionalFormatting sqref="G122">
    <cfRule type="expression" priority="56" aboveAverage="0" equalAverage="0" bottom="0" percent="0" rank="0" text="" dxfId="14">
      <formula>IF(J141:J237, "open")</formula>
    </cfRule>
  </conditionalFormatting>
  <conditionalFormatting sqref="G52">
    <cfRule type="expression" priority="57" aboveAverage="0" equalAverage="0" bottom="0" percent="0" rank="0" text="" dxfId="14">
      <formula>IF(J68:J204, "open")</formula>
    </cfRule>
  </conditionalFormatting>
  <conditionalFormatting sqref="G94">
    <cfRule type="expression" priority="58" aboveAverage="0" equalAverage="0" bottom="0" percent="0" rank="0" text="" dxfId="14">
      <formula>IF(J113:J224, "open")</formula>
    </cfRule>
  </conditionalFormatting>
  <conditionalFormatting sqref="G126">
    <cfRule type="expression" priority="59" aboveAverage="0" equalAverage="0" bottom="0" percent="0" rank="0" text="" dxfId="14">
      <formula>IF(J150:J240, "open")</formula>
    </cfRule>
  </conditionalFormatting>
  <conditionalFormatting sqref="G127">
    <cfRule type="expression" priority="60" aboveAverage="0" equalAverage="0" bottom="0" percent="0" rank="0" text="" dxfId="14">
      <formula>IF(J153:J241, "open")</formula>
    </cfRule>
  </conditionalFormatting>
  <conditionalFormatting sqref="G119">
    <cfRule type="expression" priority="61" aboveAverage="0" equalAverage="0" bottom="0" percent="0" rank="0" text="" dxfId="14">
      <formula>IF(J138:J236, "open")</formula>
    </cfRule>
  </conditionalFormatting>
  <conditionalFormatting sqref="G31">
    <cfRule type="expression" priority="62" aboveAverage="0" equalAverage="0" bottom="0" percent="0" rank="0" text="" dxfId="14">
      <formula>IF(J48:J193, "open")</formula>
    </cfRule>
  </conditionalFormatting>
  <conditionalFormatting sqref="G13">
    <cfRule type="expression" priority="63" aboveAverage="0" equalAverage="0" bottom="0" percent="0" rank="0" text="" dxfId="14">
      <formula>IF(J39:J187, "open")</formula>
    </cfRule>
  </conditionalFormatting>
  <conditionalFormatting sqref="G1047889:G1048576">
    <cfRule type="expression" priority="64" aboveAverage="0" equalAverage="0" bottom="0" percent="0" rank="0" text="" dxfId="14">
      <formula>IF(J1:J1047898, "open")</formula>
    </cfRule>
  </conditionalFormatting>
  <conditionalFormatting sqref="G138">
    <cfRule type="expression" priority="65" aboveAverage="0" equalAverage="0" bottom="0" percent="0" rank="0" text="" dxfId="14">
      <formula>IF(J158:J245, "open")</formula>
    </cfRule>
  </conditionalFormatting>
  <conditionalFormatting sqref="G99">
    <cfRule type="expression" priority="66" aboveAverage="0" equalAverage="0" bottom="0" percent="0" rank="0" text="" dxfId="14">
      <formula>IF(J119:J227, "open")</formula>
    </cfRule>
  </conditionalFormatting>
  <conditionalFormatting sqref="G152">
    <cfRule type="expression" priority="67" aboveAverage="0" equalAverage="0" bottom="0" percent="0" rank="0" text="" dxfId="14">
      <formula>IF(J165:J250, "open")</formula>
    </cfRule>
  </conditionalFormatting>
  <conditionalFormatting sqref="G81">
    <cfRule type="expression" priority="68" aboveAverage="0" equalAverage="0" bottom="0" percent="0" rank="0" text="" dxfId="14">
      <formula>IF(J96:J217, "open")</formula>
    </cfRule>
  </conditionalFormatting>
  <conditionalFormatting sqref="G116">
    <cfRule type="expression" priority="69" aboveAverage="0" equalAverage="0" bottom="0" percent="0" rank="0" text="" dxfId="14">
      <formula>IF(J130:J234, "open")</formula>
    </cfRule>
  </conditionalFormatting>
  <conditionalFormatting sqref="G17">
    <cfRule type="expression" priority="70" aboveAverage="0" equalAverage="0" bottom="0" percent="0" rank="0" text="" dxfId="14">
      <formula>IF(J42:J189, "open")</formula>
    </cfRule>
  </conditionalFormatting>
  <conditionalFormatting sqref="G20">
    <cfRule type="expression" priority="71" aboveAverage="0" equalAverage="0" bottom="0" percent="0" rank="0" text="" dxfId="14">
      <formula>IF(J40:J188, "open")</formula>
    </cfRule>
  </conditionalFormatting>
  <conditionalFormatting sqref="G21">
    <cfRule type="expression" priority="72" aboveAverage="0" equalAverage="0" bottom="0" percent="0" rank="0" text="" dxfId="14">
      <formula>IF(J42:J189, "open")</formula>
    </cfRule>
  </conditionalFormatting>
  <conditionalFormatting sqref="G24">
    <cfRule type="expression" priority="73" aboveAverage="0" equalAverage="0" bottom="0" percent="0" rank="0" text="" dxfId="14">
      <formula>IF(J44:J190, "open")</formula>
    </cfRule>
  </conditionalFormatting>
  <conditionalFormatting sqref="G115">
    <cfRule type="expression" priority="74" aboveAverage="0" equalAverage="0" bottom="0" percent="0" rank="0" text="" dxfId="14">
      <formula>IF(J130:J234, "open")</formula>
    </cfRule>
  </conditionalFormatting>
  <conditionalFormatting sqref="G114">
    <cfRule type="expression" priority="75" aboveAverage="0" equalAverage="0" bottom="0" percent="0" rank="0" text="" dxfId="14">
      <formula>IF(J130:J234, "open")</formula>
    </cfRule>
  </conditionalFormatting>
  <conditionalFormatting sqref="G113">
    <cfRule type="expression" priority="76" aboveAverage="0" equalAverage="0" bottom="0" percent="0" rank="0" text="" dxfId="14">
      <formula>IF(J128:J233, "open")</formula>
    </cfRule>
  </conditionalFormatting>
  <conditionalFormatting sqref="G48">
    <cfRule type="expression" priority="77" aboveAverage="0" equalAverage="0" bottom="0" percent="0" rank="0" text="" dxfId="14">
      <formula>IF(J63:J202, "open")</formula>
    </cfRule>
  </conditionalFormatting>
  <conditionalFormatting sqref="G22">
    <cfRule type="expression" priority="78" aboveAverage="0" equalAverage="0" bottom="0" percent="0" rank="0" text="" dxfId="14">
      <formula>IF(J42:J189, "open")</formula>
    </cfRule>
  </conditionalFormatting>
  <conditionalFormatting sqref="G23">
    <cfRule type="expression" priority="79" aboveAverage="0" equalAverage="0" bottom="0" percent="0" rank="0" text="" dxfId="14">
      <formula>IF(J44:J190, "open")</formula>
    </cfRule>
  </conditionalFormatting>
  <conditionalFormatting sqref="G30">
    <cfRule type="expression" priority="80" aboveAverage="0" equalAverage="0" bottom="0" percent="0" rank="0" text="" dxfId="14">
      <formula>IF(J48:J193, "open")</formula>
    </cfRule>
  </conditionalFormatting>
  <conditionalFormatting sqref="G90">
    <cfRule type="expression" priority="81" aboveAverage="0" equalAverage="0" bottom="0" percent="0" rank="0" text="" dxfId="14">
      <formula>IF(J104:J222, "open")</formula>
    </cfRule>
  </conditionalFormatting>
  <conditionalFormatting sqref="G89">
    <cfRule type="expression" priority="82" aboveAverage="0" equalAverage="0" bottom="0" percent="0" rank="0" text="" dxfId="14">
      <formula>IF(J102:J221, "open")</formula>
    </cfRule>
  </conditionalFormatting>
  <conditionalFormatting sqref="G112">
    <cfRule type="expression" priority="83" aboveAverage="0" equalAverage="0" bottom="0" percent="0" rank="0" text="" dxfId="14">
      <formula>IF(J128:J233, "open")</formula>
    </cfRule>
  </conditionalFormatting>
  <conditionalFormatting sqref="G91">
    <cfRule type="expression" priority="84" aboveAverage="0" equalAverage="0" bottom="0" percent="0" rank="0" text="" dxfId="14">
      <formula>IF(J110:J223, "open")</formula>
    </cfRule>
  </conditionalFormatting>
  <conditionalFormatting sqref="G92">
    <cfRule type="expression" priority="85" aboveAverage="0" equalAverage="0" bottom="0" percent="0" rank="0" text="" dxfId="14">
      <formula>IF(J112:J224, "open")</formula>
    </cfRule>
  </conditionalFormatting>
  <conditionalFormatting sqref="G44">
    <cfRule type="expression" priority="86" aboveAverage="0" equalAverage="0" bottom="0" percent="0" rank="0" text="" dxfId="14">
      <formula>IF(J59:J199, "open")</formula>
    </cfRule>
  </conditionalFormatting>
  <conditionalFormatting sqref="G51">
    <cfRule type="expression" priority="87" aboveAverage="0" equalAverage="0" bottom="0" percent="0" rank="0" text="" dxfId="14">
      <formula>IF(J64:J203, "open")</formula>
    </cfRule>
  </conditionalFormatting>
  <conditionalFormatting sqref="G16">
    <cfRule type="expression" priority="88" aboveAverage="0" equalAverage="0" bottom="0" percent="0" rank="0" text="" dxfId="14">
      <formula>IF(J40:J188, "open")</formula>
    </cfRule>
  </conditionalFormatting>
  <conditionalFormatting sqref="G132">
    <cfRule type="expression" priority="89" aboveAverage="0" equalAverage="0" bottom="0" percent="0" rank="0" text="" dxfId="14">
      <formula>IF(J157:J244, "open")</formula>
    </cfRule>
  </conditionalFormatting>
  <conditionalFormatting sqref="G1047469:G1047824">
    <cfRule type="expression" priority="90" aboveAverage="0" equalAverage="0" bottom="0" percent="0" rank="0" text="" dxfId="14">
      <formula>IF(J1:J1047478, "open")</formula>
    </cfRule>
  </conditionalFormatting>
  <conditionalFormatting sqref="G166">
    <cfRule type="expression" priority="91" aboveAverage="0" equalAverage="0" bottom="0" percent="0" rank="0" text="" dxfId="14">
      <formula>IF(J186:J259, "open")</formula>
    </cfRule>
  </conditionalFormatting>
  <conditionalFormatting sqref="G182">
    <cfRule type="expression" priority="92" aboveAverage="0" equalAverage="0" bottom="0" percent="0" rank="0" text="" dxfId="14">
      <formula>IF(J186:J264, "open")</formula>
    </cfRule>
  </conditionalFormatting>
  <conditionalFormatting sqref="G183">
    <cfRule type="expression" priority="93" aboveAverage="0" equalAverage="0" bottom="0" percent="0" rank="0" text="" dxfId="14">
      <formula>IF(J186:J263, "open")</formula>
    </cfRule>
  </conditionalFormatting>
  <conditionalFormatting sqref="G2">
    <cfRule type="expression" priority="94" aboveAverage="0" equalAverage="0" bottom="0" percent="0" rank="0" text="" dxfId="14">
      <formula>IF(J22:J185, "open")</formula>
    </cfRule>
  </conditionalFormatting>
  <conditionalFormatting sqref="G1">
    <cfRule type="expression" priority="95" aboveAverage="0" equalAverage="0" bottom="0" percent="0" rank="0" text="" dxfId="14">
      <formula>IF(J20:J185, "open")</formula>
    </cfRule>
  </conditionalFormatting>
  <conditionalFormatting sqref="G7">
    <cfRule type="expression" priority="96" aboveAverage="0" equalAverage="0" bottom="0" percent="0" rank="0" text="" dxfId="14">
      <formula>IF(J35:J185, "open")</formula>
    </cfRule>
  </conditionalFormatting>
  <conditionalFormatting sqref="G167">
    <cfRule type="expression" priority="97" aboveAverage="0" equalAverage="0" bottom="0" percent="0" rank="0" text="" dxfId="14">
      <formula>IF(J186:J260, "open")</formula>
    </cfRule>
  </conditionalFormatting>
  <conditionalFormatting sqref="G179">
    <cfRule type="expression" priority="98" aboveAverage="0" equalAverage="0" bottom="0" percent="0" rank="0" text="" dxfId="14">
      <formula>IF(J186:J263, "open")</formula>
    </cfRule>
  </conditionalFormatting>
  <conditionalFormatting sqref="G6">
    <cfRule type="expression" priority="99" aboveAverage="0" equalAverage="0" bottom="0" percent="0" rank="0" text="" dxfId="14">
      <formula>IF(J31:J185, "open")</formula>
    </cfRule>
  </conditionalFormatting>
  <conditionalFormatting sqref="G12">
    <cfRule type="expression" priority="100" aboveAverage="0" equalAverage="0" bottom="0" percent="0" rank="0" text="" dxfId="14">
      <formula>IF(J36:J186, "open")</formula>
    </cfRule>
  </conditionalFormatting>
  <conditionalFormatting sqref="G184">
    <cfRule type="expression" priority="101" aboveAverage="0" equalAverage="0" bottom="0" percent="0" rank="0" text="" dxfId="14">
      <formula>IF(J186:J264, "open")</formula>
    </cfRule>
  </conditionalFormatting>
  <conditionalFormatting sqref="G177">
    <cfRule type="expression" priority="102" aboveAverage="0" equalAverage="0" bottom="0" percent="0" rank="0" text="" dxfId="14">
      <formula>IF(J186:J262, "open")</formula>
    </cfRule>
  </conditionalFormatting>
  <conditionalFormatting sqref="G178">
    <cfRule type="expression" priority="103" aboveAverage="0" equalAverage="0" bottom="0" percent="0" rank="0" text="" dxfId="14">
      <formula>IF(J186:J263, "open")</formula>
    </cfRule>
  </conditionalFormatting>
  <conditionalFormatting sqref="G174">
    <cfRule type="expression" priority="104" aboveAverage="0" equalAverage="0" bottom="0" percent="0" rank="0" text="" dxfId="14">
      <formula>IF(J186:J264, "open")</formula>
    </cfRule>
  </conditionalFormatting>
  <conditionalFormatting sqref="G66:G67">
    <cfRule type="expression" priority="105" aboveAverage="0" equalAverage="0" bottom="0" percent="0" rank="0" text="" dxfId="14">
      <formula>IF(J90:J213, "open")</formula>
    </cfRule>
  </conditionalFormatting>
  <conditionalFormatting sqref="G175:G176">
    <cfRule type="expression" priority="106" aboveAverage="0" equalAverage="0" bottom="0" percent="0" rank="0" text="" dxfId="14">
      <formula>IF(J186:J265, "open")</formula>
    </cfRule>
  </conditionalFormatting>
  <conditionalFormatting sqref="G104:G105">
    <cfRule type="expression" priority="107" aboveAverage="0" equalAverage="0" bottom="0" percent="0" rank="0" text="" dxfId="14">
      <formula>IF(J126:J231, "open")</formula>
    </cfRule>
  </conditionalFormatting>
  <conditionalFormatting sqref="G42:G43">
    <cfRule type="expression" priority="108" aboveAverage="0" equalAverage="0" bottom="0" percent="0" rank="0" text="" dxfId="14">
      <formula>IF(J57:J198, "open")</formula>
    </cfRule>
  </conditionalFormatting>
  <conditionalFormatting sqref="G61:G63">
    <cfRule type="expression" priority="109" aboveAverage="0" equalAverage="0" bottom="0" percent="0" rank="0" text="" dxfId="14">
      <formula>IF(J85:J209, "open")</formula>
    </cfRule>
  </conditionalFormatting>
  <conditionalFormatting sqref="G85:G88">
    <cfRule type="expression" priority="110" aboveAverage="0" equalAverage="0" bottom="0" percent="0" rank="0" text="" dxfId="14">
      <formula>IF(J99:J218, "open")</formula>
    </cfRule>
  </conditionalFormatting>
  <conditionalFormatting sqref="G172:G173">
    <cfRule type="expression" priority="111" aboveAverage="0" equalAverage="0" bottom="0" percent="0" rank="0" text="" dxfId="14">
      <formula>IF(J186:J263, "open")</formula>
    </cfRule>
  </conditionalFormatting>
  <conditionalFormatting sqref="G100:G103">
    <cfRule type="expression" priority="112" aboveAverage="0" equalAverage="0" bottom="0" percent="0" rank="0" text="" dxfId="14">
      <formula>IF(J122:J228, "open")</formula>
    </cfRule>
  </conditionalFormatting>
  <conditionalFormatting sqref="G135:G137">
    <cfRule type="expression" priority="113" aboveAverage="0" equalAverage="0" bottom="0" percent="0" rank="0" text="" dxfId="14">
      <formula>IF(J160:J246, "open")</formula>
    </cfRule>
  </conditionalFormatting>
  <conditionalFormatting sqref="G180:G181">
    <cfRule type="expression" priority="114" aboveAverage="0" equalAverage="0" bottom="0" percent="0" rank="0" text="" dxfId="14">
      <formula>IF(J186:J263, "open")</formula>
    </cfRule>
  </conditionalFormatting>
  <conditionalFormatting sqref="G185">
    <cfRule type="expression" priority="115" aboveAverage="0" equalAverage="0" bottom="0" percent="0" rank="0" text="" dxfId="14">
      <formula>IF(J186:J265, "open")</formula>
    </cfRule>
  </conditionalFormatting>
  <conditionalFormatting sqref="G170:G171">
    <cfRule type="expression" priority="116" aboveAverage="0" equalAverage="0" bottom="0" percent="0" rank="0" text="" dxfId="14">
      <formula>IF(J186:J261, "open")</formula>
    </cfRule>
  </conditionalFormatting>
  <conditionalFormatting sqref="G168:G169">
    <cfRule type="expression" priority="117" aboveAverage="0" equalAverage="0" bottom="0" percent="0" rank="0" text="" dxfId="14">
      <formula>IF(J186:J261, "open")</formula>
    </cfRule>
  </conditionalFormatting>
  <conditionalFormatting sqref="G163:G165">
    <cfRule type="expression" priority="118" aboveAverage="0" equalAverage="0" bottom="0" percent="0" rank="0" text="" dxfId="14">
      <formula>IF(J186:J257, "open")</formula>
    </cfRule>
  </conditionalFormatting>
  <conditionalFormatting sqref="G160:G162">
    <cfRule type="expression" priority="119" aboveAverage="0" equalAverage="0" bottom="0" percent="0" rank="0" text="" dxfId="14">
      <formula>IF(J184:J255, "open")</formula>
    </cfRule>
  </conditionalFormatting>
  <conditionalFormatting sqref="G158:G159">
    <cfRule type="expression" priority="120" aboveAverage="0" equalAverage="0" bottom="0" percent="0" rank="0" text="" dxfId="14">
      <formula>IF(J183:J254, "open")</formula>
    </cfRule>
  </conditionalFormatting>
  <conditionalFormatting sqref="G145:G146">
    <cfRule type="expression" priority="121" aboveAverage="0" equalAverage="0" bottom="0" percent="0" rank="0" text="" dxfId="14">
      <formula>IF(J165:J250, "open")</formula>
    </cfRule>
    <cfRule type="expression" priority="122" aboveAverage="0" equalAverage="0" bottom="0" percent="0" rank="0" text="" dxfId="14">
      <formula>IF(J163:J248, "open")</formula>
    </cfRule>
  </conditionalFormatting>
  <conditionalFormatting sqref="G153:G154">
    <cfRule type="expression" priority="123" aboveAverage="0" equalAverage="0" bottom="0" percent="0" rank="0" text="" dxfId="14">
      <formula>IF(J166:J250, "open")</formula>
    </cfRule>
  </conditionalFormatting>
  <conditionalFormatting sqref="G147:G149">
    <cfRule type="expression" priority="124" aboveAverage="0" equalAverage="0" bottom="0" percent="0" rank="0" text="" dxfId="14">
      <formula>IF(J164:J249, "open")</formula>
    </cfRule>
  </conditionalFormatting>
  <conditionalFormatting sqref="G141:G142">
    <cfRule type="expression" priority="125" aboveAverage="0" equalAverage="0" bottom="0" percent="0" rank="0" text="" dxfId="14">
      <formula>IF(J160:J246, "open")</formula>
    </cfRule>
  </conditionalFormatting>
  <conditionalFormatting sqref="G106:G109">
    <cfRule type="expression" priority="126" aboveAverage="0" equalAverage="0" bottom="0" percent="0" rank="0" text="" dxfId="14">
      <formula>IF(J156:J243, "open")</formula>
    </cfRule>
  </conditionalFormatting>
  <conditionalFormatting sqref="G133:G134">
    <cfRule type="expression" priority="127" aboveAverage="0" equalAverage="0" bottom="0" percent="0" rank="0" text="" dxfId="14">
      <formula>IF(J157:J244, "open")</formula>
    </cfRule>
  </conditionalFormatting>
  <conditionalFormatting sqref="G139:G140">
    <cfRule type="expression" priority="128" aboveAverage="0" equalAverage="0" bottom="0" percent="0" rank="0" text="" dxfId="14">
      <formula>IF(J160:J246, "open")</formula>
    </cfRule>
  </conditionalFormatting>
  <conditionalFormatting sqref="G150:G151">
    <cfRule type="expression" priority="129" aboveAverage="0" equalAverage="0" bottom="0" percent="0" rank="0" text="" dxfId="14">
      <formula>IF(J164:J249, "open")</formula>
    </cfRule>
  </conditionalFormatting>
  <conditionalFormatting sqref="G128:G129">
    <cfRule type="expression" priority="130" aboveAverage="0" equalAverage="0" bottom="0" percent="0" rank="0" text="" dxfId="14">
      <formula>IF(J155:J242, "open")</formula>
    </cfRule>
  </conditionalFormatting>
  <conditionalFormatting sqref="G120:G121">
    <cfRule type="expression" priority="131" aboveAverage="0" equalAverage="0" bottom="0" percent="0" rank="0" text="" dxfId="14">
      <formula>IF(J141:J237, "open")</formula>
    </cfRule>
  </conditionalFormatting>
  <conditionalFormatting sqref="G123:G125">
    <cfRule type="expression" priority="132" aboveAverage="0" equalAverage="0" bottom="0" percent="0" rank="0" text="" dxfId="14">
      <formula>IF(J143:J238, "open")</formula>
    </cfRule>
  </conditionalFormatting>
  <conditionalFormatting sqref="G117:G118">
    <cfRule type="expression" priority="133" aboveAverage="0" equalAverage="0" bottom="0" percent="0" rank="0" text="" dxfId="14">
      <formula>IF(J133:J235, "open")</formula>
    </cfRule>
  </conditionalFormatting>
  <conditionalFormatting sqref="G130:G131">
    <cfRule type="expression" priority="134" aboveAverage="0" equalAverage="0" bottom="0" percent="0" rank="0" text="" dxfId="14">
      <formula>IF(J156:J243, "open")</formula>
    </cfRule>
  </conditionalFormatting>
  <conditionalFormatting sqref="G95:G98">
    <cfRule type="expression" priority="135" aboveAverage="0" equalAverage="0" bottom="0" percent="0" rank="0" text="" dxfId="14">
      <formula>IF(J116:J225, "open")</formula>
    </cfRule>
  </conditionalFormatting>
  <conditionalFormatting sqref="G110:G111">
    <cfRule type="expression" priority="136" aboveAverage="0" equalAverage="0" bottom="0" percent="0" rank="0" text="" dxfId="14">
      <formula>IF(J127:J232, "open")</formula>
    </cfRule>
  </conditionalFormatting>
  <conditionalFormatting sqref="G82:G84">
    <cfRule type="expression" priority="137" aboveAverage="0" equalAverage="0" bottom="0" percent="0" rank="0" text="" dxfId="14">
      <formula>IF(J96:J217, "open")</formula>
    </cfRule>
  </conditionalFormatting>
  <conditionalFormatting sqref="G72:G73">
    <cfRule type="expression" priority="138" aboveAverage="0" equalAverage="0" bottom="0" percent="0" rank="0" text="" dxfId="14">
      <formula>IF(J91:J214, "open")</formula>
    </cfRule>
  </conditionalFormatting>
  <conditionalFormatting sqref="G74:G75">
    <cfRule type="expression" priority="139" aboveAverage="0" equalAverage="0" bottom="0" percent="0" rank="0" text="" dxfId="14">
      <formula>IF(J94:J215, "open")</formula>
    </cfRule>
  </conditionalFormatting>
  <conditionalFormatting sqref="G68:G71">
    <cfRule type="expression" priority="140" aboveAverage="0" equalAverage="0" bottom="0" percent="0" rank="0" text="" dxfId="14">
      <formula>IF(J90:J213, "open")</formula>
    </cfRule>
  </conditionalFormatting>
  <conditionalFormatting sqref="G76:G80">
    <cfRule type="expression" priority="141" aboveAverage="0" equalAverage="0" bottom="0" percent="0" rank="0" text="" dxfId="14">
      <formula>IF(J92:J213, "open")</formula>
    </cfRule>
  </conditionalFormatting>
  <conditionalFormatting sqref="G64:G65">
    <cfRule type="expression" priority="142" aboveAverage="0" equalAverage="0" bottom="0" percent="0" rank="0" text="" dxfId="14">
      <formula>IF(J89:J212, "open")</formula>
    </cfRule>
  </conditionalFormatting>
  <conditionalFormatting sqref="G59:G60">
    <cfRule type="expression" priority="143" aboveAverage="0" equalAverage="0" bottom="0" percent="0" rank="0" text="" dxfId="14">
      <formula>IF(J82:J208, "open")</formula>
    </cfRule>
  </conditionalFormatting>
  <conditionalFormatting sqref="G57:G58">
    <cfRule type="expression" priority="144" aboveAverage="0" equalAverage="0" bottom="0" percent="0" rank="0" text="" dxfId="14">
      <formula>IF(J79:J207, "open")</formula>
    </cfRule>
  </conditionalFormatting>
  <conditionalFormatting sqref="G55:G56">
    <cfRule type="expression" priority="145" aboveAverage="0" equalAverage="0" bottom="0" percent="0" rank="0" text="" dxfId="14">
      <formula>IF(J78:J206, "open")</formula>
    </cfRule>
  </conditionalFormatting>
  <conditionalFormatting sqref="G10:G11">
    <cfRule type="expression" priority="146" aboveAverage="0" equalAverage="0" bottom="0" percent="0" rank="0" text="" dxfId="14">
      <formula>IF(J36:J186, "open")</formula>
    </cfRule>
  </conditionalFormatting>
  <conditionalFormatting sqref="G39:G41">
    <cfRule type="expression" priority="147" aboveAverage="0" equalAverage="0" bottom="0" percent="0" rank="0" text="" dxfId="14">
      <formula>IF(J54:J196, "open")</formula>
    </cfRule>
  </conditionalFormatting>
  <conditionalFormatting sqref="G49:G50">
    <cfRule type="expression" priority="148" aboveAverage="0" equalAverage="0" bottom="0" percent="0" rank="0" text="" dxfId="14">
      <formula>IF(J63:J202, "open")</formula>
    </cfRule>
  </conditionalFormatting>
  <conditionalFormatting sqref="G45:G47">
    <cfRule type="expression" priority="149" aboveAverage="0" equalAverage="0" bottom="0" percent="0" rank="0" text="" dxfId="14">
      <formula>IF(J61:J200, "open")</formula>
    </cfRule>
  </conditionalFormatting>
  <conditionalFormatting sqref="G32:G33">
    <cfRule type="expression" priority="150" aboveAverage="0" equalAverage="0" bottom="0" percent="0" rank="0" text="" dxfId="14">
      <formula>IF(J51:J194, "open")</formula>
    </cfRule>
  </conditionalFormatting>
  <conditionalFormatting sqref="G36:G38">
    <cfRule type="expression" priority="151" aboveAverage="0" equalAverage="0" bottom="0" percent="0" rank="0" text="" dxfId="14">
      <formula>IF(J53:J195, "open")</formula>
    </cfRule>
  </conditionalFormatting>
  <conditionalFormatting sqref="G18:G19">
    <cfRule type="expression" priority="152" aboveAverage="0" equalAverage="0" bottom="0" percent="0" rank="0" text="" dxfId="14">
      <formula>IF(J40:J188, "open")</formula>
    </cfRule>
  </conditionalFormatting>
  <conditionalFormatting sqref="G27:G29">
    <cfRule type="expression" priority="153" aboveAverage="0" equalAverage="0" bottom="0" percent="0" rank="0" text="" dxfId="14">
      <formula>IF(J44:J190, "open")</formula>
    </cfRule>
  </conditionalFormatting>
  <conditionalFormatting sqref="G25:G26">
    <cfRule type="expression" priority="154" aboveAverage="0" equalAverage="0" bottom="0" percent="0" rank="0" text="" dxfId="14">
      <formula>IF(J44:J190, "open")</formula>
    </cfRule>
  </conditionalFormatting>
  <conditionalFormatting sqref="G14:G15">
    <cfRule type="expression" priority="155" aboveAverage="0" equalAverage="0" bottom="0" percent="0" rank="0" text="" dxfId="14">
      <formula>IF(J39:J187, "open")</formula>
    </cfRule>
  </conditionalFormatting>
  <conditionalFormatting sqref="G8:G9">
    <cfRule type="expression" priority="156" aboveAverage="0" equalAverage="0" bottom="0" percent="0" rank="0" text="" dxfId="14">
      <formula>IF(J35:J185, "open")</formula>
    </cfRule>
  </conditionalFormatting>
  <conditionalFormatting sqref="G3:G5">
    <cfRule type="expression" priority="157" aboveAverage="0" equalAverage="0" bottom="0" percent="0" rank="0" text="" dxfId="14">
      <formula>IF(J27:J185, "open")</formula>
    </cfRule>
  </conditionalFormatting>
  <conditionalFormatting sqref="G1047825:G1047881">
    <cfRule type="expression" priority="158" aboveAverage="0" equalAverage="0" bottom="0" percent="0" rank="0" text="" dxfId="14">
      <formula>IF(J1:J1047834, "open")</formula>
    </cfRule>
  </conditionalFormatting>
  <conditionalFormatting sqref="G1047887:G1047888">
    <cfRule type="expression" priority="159" aboveAverage="0" equalAverage="0" bottom="0" percent="0" rank="0" text="" dxfId="14">
      <formula>IF(J1:J1047896, "open")</formula>
    </cfRule>
  </conditionalFormatting>
  <conditionalFormatting sqref="B14:B53 B55:B143 B145:B185">
    <cfRule type="expression" priority="160" aboveAverage="0" equalAverage="0" bottom="0" percent="0" rank="0" text="" dxfId="11">
      <formula>OR(#ref!="",#ref!="")</formula>
    </cfRule>
  </conditionalFormatting>
  <conditionalFormatting sqref="C14:C53 C55:C143 C145:C185">
    <cfRule type="expression" priority="161" aboveAverage="0" equalAverage="0" bottom="0" percent="0" rank="0" text="" dxfId="11">
      <formula>OR(#ref!="",#ref!="")</formula>
    </cfRule>
  </conditionalFormatting>
  <conditionalFormatting sqref="G14:G185">
    <cfRule type="expression" priority="162" aboveAverage="0" equalAverage="0" bottom="0" percent="0" rank="0" text="" dxfId="11">
      <formula>OR(#ref!="",#ref!="")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2022-09-09T15:24:04Z</dcterms:created>
  <dc:creator>Jeffreys-Berns, Eric</dc:creator>
  <dc:description/>
  <dc:language>zh-CN</dc:language>
  <cp:lastModifiedBy>Jeffreys-Berns, Eric</cp:lastModifiedBy>
  <dcterms:modified xsi:type="dcterms:W3CDTF">2026-06-20T06:55:28Z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