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<sst xmlns="http://schemas.openxmlformats.org/spreadsheetml/2006/main" count="3" uniqueCount="3">
  <si>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Beg Date</t>
  </si>
  <si>
    <t xml:space="preserve">End Date</t>
  </si>
  <si>
    <t xml:space="preserve">Dates to exclude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</si>
</sst>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0.71"/>
    <col collapsed="false" customWidth="true" hidden="false" outlineLevel="0" max="6" min="6" style="0" width="10.71"/>
    <col collapsed="false" customWidth="true" hidden="false" outlineLevel="0" max="8" min="8" style="0" width="10.71"/>
    <col collapsed="false" customWidth="true" hidden="false" outlineLevel="0" max="10" min="10" style="0" width="15.85"/>
  </cols>
  <sheetData>
    <row r="1" customFormat="false" ht="13.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false" outlineLevel="0" collapsed="false">
      <c r="A2" s="1"/>
      <c r="B2" s="2" t="s">
        <v>0</v>
      </c>
      <c r="C2" s="1"/>
      <c r="D2" s="1"/>
      <c r="E2" s="1"/>
      <c r="F2" s="2" t="s">
        <v>1</v>
      </c>
      <c r="G2" s="1"/>
      <c r="H2" s="1"/>
      <c r="I2" s="1"/>
      <c r="J2" s="1"/>
    </row>
    <row r="3" customFormat="false" ht="13.5" hidden="false" customHeight="false" outlineLevel="0" collapsed="false">
      <c r="A3" s="1"/>
      <c r="B3" s="3" t="n">
        <v>44440</v>
      </c>
      <c r="C3" s="1"/>
      <c r="D3" s="1"/>
      <c r="E3" s="1"/>
      <c r="F3" s="3" t="n">
        <v>44530</v>
      </c>
      <c r="G3" s="1"/>
      <c r="H3" s="1"/>
      <c r="I3" s="1"/>
      <c r="J3" s="2" t="s">
        <v>2</v>
      </c>
    </row>
    <row r="4" customFormat="false" ht="13.5" hidden="false" customHeight="false" outlineLevel="0" collapsed="false">
      <c r="A4" s="1"/>
      <c r="B4" s="3"/>
      <c r="C4" s="1"/>
      <c r="D4" s="1"/>
      <c r="E4" s="1"/>
      <c r="F4" s="1"/>
      <c r="G4" s="1"/>
      <c r="H4" s="1"/>
      <c r="I4" s="1"/>
      <c r="J4" s="1"/>
    </row>
    <row r="5" customFormat="false" ht="13.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3" t="n">
        <v>44452</v>
      </c>
    </row>
    <row r="6" customFormat="false" ht="13.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3" t="n">
        <v>44453</v>
      </c>
    </row>
    <row r="7" customFormat="false" ht="13.5" hidden="false" customHeight="false" outlineLevel="0" collapsed="false">
      <c r="A7" s="1"/>
      <c r="B7" s="4" t="n">
        <f aca="false">IF($B$3+ROWS($B$7:$B7)-1&lt;=DATE(2021,9,30),$B$3+ROWS($B$7:$B7)-1,"")</f>
        <v>44440</v>
      </c>
      <c r="C7" s="1" t="str">
        <f aca="false">IFERROR(INDEX(#ref!,MATCH(B7,#ref!,0)),"")</f>
        <v/>
      </c>
      <c r="D7" s="4" t="n">
        <f aca="false">IF($B$3+ROWS($D$7:D7)-1&lt;=DATE(2021,11,2),$B$3+ROWS($D$7:D7)-1,"")</f>
        <v>44440</v>
      </c>
      <c r="E7" s="1"/>
      <c r="F7" s="4" t="n">
        <f aca="false">IF($B$3+ROWS($F$7:F7)-1&lt;=DATE(2021,11,2),$B$3+ROWS($F$7:F7)-1,"")</f>
        <v>44440</v>
      </c>
      <c r="G7" s="1"/>
      <c r="H7" s="4" t="n">
        <f aca="false">WORKDAY($B$3,0,$J$5:$J$7)</f>
        <v>44440</v>
      </c>
      <c r="I7" s="1"/>
      <c r="J7" s="3" t="n">
        <v>44470</v>
      </c>
    </row>
    <row r="8" customFormat="false" ht="13.5" hidden="false" customHeight="false" outlineLevel="0" collapsed="false">
      <c r="A8" s="1"/>
      <c r="B8" s="4" t="n">
        <f aca="false">IF($B$3+ROWS($B$7:$B8)-1&lt;=DATE(2021,9,30),$B$3+ROWS($B$7:$B8)-1,"")</f>
        <v>44441</v>
      </c>
      <c r="C8" s="1" t="str">
        <f aca="false">IFERROR(INDEX(#ref!,MATCH(B8,#ref!,0)),"")</f>
        <v/>
      </c>
      <c r="D8" s="4" t="n">
        <f aca="false">IF($B$3+ROWS($D$7:D8)-1&lt;=DATE(2021,11,2),$B$3+ROWS($D$7:D8)-1,"")</f>
        <v>44441</v>
      </c>
      <c r="E8" s="1"/>
      <c r="F8" s="4" t="n">
        <f aca="false">IF($B$3+ROWS($F$7:F8)-1&lt;=DATE(2021,11,2),$B$3+ROWS($F$7:F8)-1,"")</f>
        <v>44441</v>
      </c>
      <c r="G8" s="1"/>
      <c r="H8" s="4" t="n">
        <f aca="false">WORKDAY($B$3,1,$J$5:$J$7)</f>
        <v>44441</v>
      </c>
      <c r="I8" s="1"/>
      <c r="J8" s="1"/>
    </row>
    <row r="9" customFormat="false" ht="13.5" hidden="false" customHeight="false" outlineLevel="0" collapsed="false">
      <c r="A9" s="1"/>
      <c r="B9" s="4" t="n">
        <f aca="false">IF($B$3+ROWS($B$7:$B9)-1&lt;=DATE(2021,9,30),$B$3+ROWS($B$7:$B9)-1,"")</f>
        <v>44442</v>
      </c>
      <c r="C9" s="1" t="str">
        <f aca="false">IFERROR(INDEX(#ref!,MATCH(B9,#ref!,0)),"")</f>
        <v/>
      </c>
      <c r="D9" s="4" t="n">
        <f aca="false">IF($B$3+ROWS($D$7:D9)-1&lt;=DATE(2021,11,2),$B$3+ROWS($D$7:D9)-1,"")</f>
        <v>44442</v>
      </c>
      <c r="E9" s="1"/>
      <c r="F9" s="4" t="n">
        <f aca="false">IF($B$3+ROWS($F$7:F9)-1&lt;=DATE(2021,11,2),$B$3+ROWS($F$7:F9)-1,"")</f>
        <v>44442</v>
      </c>
      <c r="G9" s="1"/>
      <c r="H9" s="4" t="n">
        <f aca="false">WORKDAY($B$3,2,$J$5:$J$7)</f>
        <v>44442</v>
      </c>
      <c r="I9" s="1"/>
      <c r="J9" s="1"/>
    </row>
    <row r="10" customFormat="false" ht="13.5" hidden="false" customHeight="false" outlineLevel="0" collapsed="false">
      <c r="A10" s="1"/>
      <c r="B10" s="4" t="n">
        <f aca="false">IF($B$3+ROWS($B$7:$B10)-1&lt;=DATE(2021,9,30),$B$3+ROWS($B$7:$B10)-1,"")</f>
        <v>44443</v>
      </c>
      <c r="C10" s="1" t="str">
        <f aca="false">IFERROR(INDEX(#ref!,MATCH(B10,#ref!,0)),"")</f>
        <v/>
      </c>
      <c r="D10" s="4" t="n">
        <f aca="false">IF($B$3+ROWS($D$7:D10)-1&lt;=DATE(2021,11,2),$B$3+ROWS($D$7:D10)-1,"")</f>
        <v>44443</v>
      </c>
      <c r="E10" s="1"/>
      <c r="F10" s="4" t="n">
        <f aca="false">IF($B$3+ROWS($F$7:F10)-1&lt;=DATE(2021,11,2),$B$3+ROWS($F$7:F10)-1,"")</f>
        <v>44443</v>
      </c>
      <c r="G10" s="1"/>
      <c r="H10" s="4" t="n">
        <f aca="false">WORKDAY($B$3,3,$J$5:$J$7)</f>
        <v>44445</v>
      </c>
      <c r="I10" s="1"/>
      <c r="J10" s="1"/>
    </row>
    <row r="11" customFormat="false" ht="13.5" hidden="false" customHeight="false" outlineLevel="0" collapsed="false">
      <c r="A11" s="1"/>
      <c r="B11" s="4" t="n">
        <f aca="false">IF($B$3+ROWS($B$7:$B11)-1&lt;=DATE(2021,9,30),$B$3+ROWS($B$7:$B11)-1,"")</f>
        <v>44444</v>
      </c>
      <c r="C11" s="1" t="str">
        <f aca="false">IFERROR(INDEX(#ref!,MATCH(B11,#ref!,0)),"")</f>
        <v/>
      </c>
      <c r="D11" s="4" t="n">
        <f aca="false">IF($B$3+ROWS($D$7:D11)-1&lt;=DATE(2021,11,2),$B$3+ROWS($D$7:D11)-1,"")</f>
        <v>44444</v>
      </c>
      <c r="E11" s="1"/>
      <c r="F11" s="4" t="n">
        <f aca="false">IF($B$3+ROWS($F$7:F11)-1&lt;=DATE(2021,11,2),$B$3+ROWS($F$7:F11)-1,"")</f>
        <v>44444</v>
      </c>
      <c r="G11" s="1"/>
      <c r="H11" s="4" t="n">
        <f aca="false">WORKDAY($B$3,4,$J$5:$J$7)</f>
        <v>44446</v>
      </c>
      <c r="I11" s="1"/>
      <c r="J11" s="1"/>
    </row>
    <row r="12" customFormat="false" ht="13.5" hidden="false" customHeight="false" outlineLevel="0" collapsed="false">
      <c r="A12" s="1"/>
      <c r="B12" s="4" t="n">
        <f aca="false">IF($B$3+ROWS($B$7:$B12)-1&lt;=DATE(2021,9,30),$B$3+ROWS($B$7:$B12)-1,"")</f>
        <v>44445</v>
      </c>
      <c r="C12" s="1" t="str">
        <f aca="false">IFERROR(INDEX(#ref!,MATCH(B12,#ref!,0)),"")</f>
        <v/>
      </c>
      <c r="D12" s="4" t="n">
        <f aca="false">IF($B$3+ROWS($D$7:D12)-1&lt;=DATE(2021,11,2),$B$3+ROWS($D$7:D12)-1,"")</f>
        <v>44445</v>
      </c>
      <c r="E12" s="1"/>
      <c r="F12" s="4" t="n">
        <f aca="false">IF($B$3+ROWS($F$7:F12)-1&lt;=DATE(2021,11,2),$B$3+ROWS($F$7:F12)-1,"")</f>
        <v>44445</v>
      </c>
      <c r="G12" s="1"/>
      <c r="H12" s="4" t="n">
        <f aca="false">WORKDAY($B$3,5,$J$5:$J$7)</f>
        <v>44447</v>
      </c>
      <c r="I12" s="1"/>
      <c r="J12" s="1"/>
    </row>
    <row r="13" customFormat="false" ht="13.5" hidden="false" customHeight="false" outlineLevel="0" collapsed="false">
      <c r="A13" s="1"/>
      <c r="B13" s="4" t="n">
        <f aca="false">IF($B$3+ROWS($B$7:$B13)-1&lt;=DATE(2021,9,30),$B$3+ROWS($B$7:$B13)-1,"")</f>
        <v>44446</v>
      </c>
      <c r="C13" s="1" t="str">
        <f aca="false">IFERROR(INDEX(#ref!,MATCH(B13,#ref!,0)),"")</f>
        <v/>
      </c>
      <c r="D13" s="4" t="n">
        <f aca="false">IF($B$3+ROWS($D$7:D13)-1&lt;=DATE(2021,11,2),$B$3+ROWS($D$7:D13)-1,"")</f>
        <v>44446</v>
      </c>
      <c r="E13" s="1"/>
      <c r="F13" s="4" t="n">
        <f aca="false">IF($B$3+ROWS($F$7:F13)-1&lt;=DATE(2021,11,2),$B$3+ROWS($F$7:F13)-1,"")</f>
        <v>44446</v>
      </c>
      <c r="G13" s="1"/>
      <c r="H13" s="4" t="n">
        <f aca="false">WORKDAY($B$3,6,$J$5:$J$7)</f>
        <v>44448</v>
      </c>
      <c r="I13" s="1"/>
      <c r="J13" s="1"/>
    </row>
    <row r="14" customFormat="false" ht="13.5" hidden="false" customHeight="false" outlineLevel="0" collapsed="false">
      <c r="A14" s="1"/>
      <c r="B14" s="4" t="n">
        <f aca="false">IF($B$3+ROWS($B$7:$B14)-1&lt;=DATE(2021,9,30),$B$3+ROWS($B$7:$B14)-1,"")</f>
        <v>44447</v>
      </c>
      <c r="C14" s="1" t="str">
        <f aca="false">IFERROR(INDEX(#ref!,MATCH(B14,#ref!,0)),"")</f>
        <v/>
      </c>
      <c r="D14" s="4" t="n">
        <f aca="false">IF($B$3+ROWS($D$7:D14)-1&lt;=DATE(2021,11,2),$B$3+ROWS($D$7:D14)-1,"")</f>
        <v>44447</v>
      </c>
      <c r="E14" s="1"/>
      <c r="F14" s="4" t="n">
        <f aca="false">IF($B$3+ROWS($F$7:F14)-1&lt;=DATE(2021,11,2),$B$3+ROWS($F$7:F14)-1,"")</f>
        <v>44447</v>
      </c>
      <c r="G14" s="1"/>
      <c r="H14" s="4" t="n">
        <f aca="false">WORKDAY($B$3,7,$J$5:$J$7)</f>
        <v>44449</v>
      </c>
      <c r="I14" s="1"/>
      <c r="J14" s="1"/>
    </row>
    <row r="15" customFormat="false" ht="13.5" hidden="false" customHeight="false" outlineLevel="0" collapsed="false">
      <c r="A15" s="1"/>
      <c r="B15" s="4" t="n">
        <f aca="false">IF($B$3+ROWS($B$7:$B15)-1&lt;=DATE(2021,9,30),$B$3+ROWS($B$7:$B15)-1,"")</f>
        <v>44448</v>
      </c>
      <c r="C15" s="1" t="str">
        <f aca="false">IFERROR(INDEX(#ref!,MATCH(B15,#ref!,0)),"")</f>
        <v/>
      </c>
      <c r="D15" s="4" t="n">
        <f aca="false">IF($B$3+ROWS($D$7:D15)-1&lt;=DATE(2021,11,2),$B$3+ROWS($D$7:D15)-1,"")</f>
        <v>44448</v>
      </c>
      <c r="E15" s="1"/>
      <c r="F15" s="4" t="n">
        <f aca="false">IF($B$3+ROWS($F$7:F15)-1&lt;=DATE(2021,11,2),$B$3+ROWS($F$7:F15)-1,"")</f>
        <v>44448</v>
      </c>
      <c r="G15" s="1"/>
      <c r="H15" s="4" t="n">
        <f aca="false">WORKDAY($B$3,8,$J$5:$J$7)</f>
        <v>44454</v>
      </c>
      <c r="I15" s="1"/>
      <c r="J15" s="1"/>
    </row>
    <row r="16" customFormat="false" ht="13.5" hidden="false" customHeight="false" outlineLevel="0" collapsed="false">
      <c r="A16" s="1"/>
      <c r="B16" s="4" t="n">
        <f aca="false">IF($B$3+ROWS($B$7:$B16)-1&lt;=DATE(2021,9,30),$B$3+ROWS($B$7:$B16)-1,"")</f>
        <v>44449</v>
      </c>
      <c r="C16" s="1" t="str">
        <f aca="false">IFERROR(INDEX(#ref!,MATCH(B16,#ref!,0)),"")</f>
        <v/>
      </c>
      <c r="D16" s="4" t="n">
        <f aca="false">IF($B$3+ROWS($D$7:D16)-1&lt;=DATE(2021,11,2),$B$3+ROWS($D$7:D16)-1,"")</f>
        <v>44449</v>
      </c>
      <c r="E16" s="1"/>
      <c r="F16" s="4" t="n">
        <f aca="false">IF($B$3+ROWS($F$7:F16)-1&lt;=DATE(2021,11,2),$B$3+ROWS($F$7:F16)-1,"")</f>
        <v>44449</v>
      </c>
      <c r="G16" s="1"/>
      <c r="H16" s="4" t="n">
        <f aca="false">WORKDAY($B$3,9,$J$5:$J$7)</f>
        <v>44455</v>
      </c>
      <c r="I16" s="1"/>
      <c r="J16" s="1"/>
    </row>
    <row r="17" customFormat="false" ht="13.5" hidden="false" customHeight="false" outlineLevel="0" collapsed="false">
      <c r="A17" s="1"/>
      <c r="B17" s="4" t="n">
        <f aca="false">IF($B$3+ROWS($B$7:$B17)-1&lt;=DATE(2021,9,30),$B$3+ROWS($B$7:$B17)-1,"")</f>
        <v>44450</v>
      </c>
      <c r="C17" s="1" t="str">
        <f aca="false">IFERROR(INDEX(#ref!,MATCH(B17,#ref!,0)),"")</f>
        <v/>
      </c>
      <c r="D17" s="4" t="n">
        <f aca="false">IF($B$3+ROWS($D$7:D17)-1&lt;=DATE(2021,11,2),$B$3+ROWS($D$7:D17)-1,"")</f>
        <v>44450</v>
      </c>
      <c r="E17" s="1"/>
      <c r="F17" s="4" t="n">
        <f aca="false">IF($B$3+ROWS($F$7:F17)-1&lt;=DATE(2021,11,2),$B$3+ROWS($F$7:F17)-1,"")</f>
        <v>44450</v>
      </c>
      <c r="G17" s="1"/>
      <c r="H17" s="4" t="n">
        <f aca="false">WORKDAY($B$3,10,$J$5:$J$7)</f>
        <v>44456</v>
      </c>
      <c r="I17" s="1"/>
      <c r="J17" s="1"/>
    </row>
    <row r="18" customFormat="false" ht="13.5" hidden="false" customHeight="false" outlineLevel="0" collapsed="false">
      <c r="A18" s="1"/>
      <c r="B18" s="4" t="n">
        <f aca="false">IF($B$3+ROWS($B$7:$B18)-1&lt;=DATE(2021,9,30),$B$3+ROWS($B$7:$B18)-1,"")</f>
        <v>44451</v>
      </c>
      <c r="C18" s="1" t="str">
        <f aca="false">IFERROR(INDEX(#ref!,MATCH(B18,#ref!,0)),"")</f>
        <v/>
      </c>
      <c r="D18" s="4" t="n">
        <f aca="false">IF($B$3+ROWS($D$7:D18)-1&lt;=DATE(2021,11,2),$B$3+ROWS($D$7:D18)-1,"")</f>
        <v>44451</v>
      </c>
      <c r="E18" s="1"/>
      <c r="F18" s="4" t="n">
        <f aca="false">IF($B$3+ROWS($F$7:F18)-1&lt;=DATE(2021,11,2),$B$3+ROWS($F$7:F18)-1,"")</f>
        <v>44451</v>
      </c>
      <c r="G18" s="1"/>
      <c r="H18" s="4" t="n">
        <f aca="false">WORKDAY($B$3,11,$J$5:$J$7)</f>
        <v>44459</v>
      </c>
      <c r="I18" s="1"/>
      <c r="J18" s="1"/>
    </row>
    <row r="19" customFormat="false" ht="13.5" hidden="false" customHeight="false" outlineLevel="0" collapsed="false">
      <c r="A19" s="1"/>
      <c r="B19" s="4" t="n">
        <f aca="false">IF($B$3+ROWS($B$7:$B19)-1&lt;=DATE(2021,9,30),$B$3+ROWS($B$7:$B19)-1,"")</f>
        <v>44452</v>
      </c>
      <c r="C19" s="1" t="str">
        <f aca="false">IFERROR(INDEX(#ref!,MATCH(B19,#ref!,0)),"")</f>
        <v/>
      </c>
      <c r="D19" s="4" t="n">
        <f aca="false">IF($B$3+ROWS($D$7:D19)-1&lt;=DATE(2021,11,2),$B$3+ROWS($D$7:D19)-1,"")</f>
        <v>44452</v>
      </c>
      <c r="E19" s="1"/>
      <c r="F19" s="4" t="n">
        <f aca="false">IF($B$3+ROWS($F$7:F19)-1&lt;=DATE(2021,11,2),$B$3+ROWS($F$7:F19)-1,"")</f>
        <v>44452</v>
      </c>
      <c r="G19" s="1"/>
      <c r="H19" s="4" t="n">
        <f aca="false">WORKDAY($B$3,12,$J$5:$J$7)</f>
        <v>44460</v>
      </c>
      <c r="I19" s="1"/>
      <c r="J19" s="1"/>
    </row>
    <row r="20" customFormat="false" ht="13.5" hidden="false" customHeight="false" outlineLevel="0" collapsed="false">
      <c r="A20" s="1"/>
      <c r="B20" s="4" t="n">
        <f aca="false">IF($B$3+ROWS($B$7:$B20)-1&lt;=DATE(2021,9,30),$B$3+ROWS($B$7:$B20)-1,"")</f>
        <v>44453</v>
      </c>
      <c r="C20" s="1"/>
      <c r="D20" s="4" t="n">
        <f aca="false">IF($B$3+ROWS($D$7:D20)-1&lt;=DATE(2021,11,2),$B$3+ROWS($D$7:D20)-1,"")</f>
        <v>44453</v>
      </c>
      <c r="E20" s="1"/>
      <c r="F20" s="4" t="n">
        <f aca="false">IF($B$3+ROWS($F$7:F20)-1&lt;=DATE(2021,11,2),$B$3+ROWS($F$7:F20)-1,"")</f>
        <v>44453</v>
      </c>
      <c r="G20" s="1"/>
      <c r="H20" s="4" t="n">
        <f aca="false">WORKDAY($B$3,13,$J$5:$J$7)</f>
        <v>44461</v>
      </c>
      <c r="I20" s="1"/>
      <c r="J20" s="1"/>
    </row>
    <row r="21" customFormat="false" ht="13.5" hidden="false" customHeight="false" outlineLevel="0" collapsed="false">
      <c r="A21" s="1"/>
      <c r="B21" s="4" t="n">
        <f aca="false">IF($B$3+ROWS($B$7:$B21)-1&lt;=DATE(2021,9,30),$B$3+ROWS($B$7:$B21)-1,"")</f>
        <v>44454</v>
      </c>
      <c r="C21" s="1"/>
      <c r="D21" s="4" t="n">
        <f aca="false">IF($B$3+ROWS($D$7:D21)-1&lt;=DATE(2021,11,2),$B$3+ROWS($D$7:D21)-1,"")</f>
        <v>44454</v>
      </c>
      <c r="E21" s="1"/>
      <c r="F21" s="4" t="n">
        <f aca="false">IF($B$3+ROWS($F$7:F21)-1&lt;=DATE(2021,11,2),$B$3+ROWS($F$7:F21)-1,"")</f>
        <v>44454</v>
      </c>
      <c r="G21" s="1"/>
      <c r="H21" s="4" t="n">
        <f aca="false">WORKDAY($B$3,14,$J$5:$J$7)</f>
        <v>44462</v>
      </c>
      <c r="I21" s="1"/>
      <c r="J21" s="1"/>
    </row>
    <row r="22" customFormat="false" ht="13.5" hidden="false" customHeight="false" outlineLevel="0" collapsed="false">
      <c r="A22" s="1"/>
      <c r="B22" s="4" t="n">
        <f aca="false">IF($B$3+ROWS($B$7:$B22)-1&lt;=DATE(2021,9,30),$B$3+ROWS($B$7:$B22)-1,"")</f>
        <v>44455</v>
      </c>
      <c r="C22" s="1"/>
      <c r="D22" s="4" t="n">
        <f aca="false">IF($B$3+ROWS($D$7:D22)-1&lt;=DATE(2021,11,2),$B$3+ROWS($D$7:D22)-1,"")</f>
        <v>44455</v>
      </c>
      <c r="E22" s="1"/>
      <c r="F22" s="4" t="n">
        <f aca="false">IF($B$3+ROWS($F$7:F22)-1&lt;=DATE(2021,11,2),$B$3+ROWS($F$7:F22)-1,"")</f>
        <v>44455</v>
      </c>
      <c r="G22" s="1"/>
      <c r="H22" s="4" t="n">
        <f aca="false">WORKDAY($B$3,15,$J$5:$J$7)</f>
        <v>44463</v>
      </c>
      <c r="I22" s="1"/>
      <c r="J22" s="1"/>
    </row>
    <row r="23" customFormat="false" ht="13.5" hidden="false" customHeight="false" outlineLevel="0" collapsed="false">
      <c r="A23" s="1"/>
      <c r="B23" s="4" t="n">
        <f aca="false">IF($B$3+ROWS($B$7:$B23)-1&lt;=DATE(2021,9,30),$B$3+ROWS($B$7:$B23)-1,"")</f>
        <v>44456</v>
      </c>
      <c r="C23" s="1"/>
      <c r="D23" s="4" t="n">
        <f aca="false">IF($B$3+ROWS($D$7:D23)-1&lt;=DATE(2021,11,2),$B$3+ROWS($D$7:D23)-1,"")</f>
        <v>44456</v>
      </c>
      <c r="E23" s="1"/>
      <c r="F23" s="4" t="n">
        <f aca="false">IF($B$3+ROWS($F$7:F23)-1&lt;=DATE(2021,11,2),$B$3+ROWS($F$7:F23)-1,"")</f>
        <v>44456</v>
      </c>
      <c r="G23" s="1"/>
      <c r="H23" s="4" t="n">
        <f aca="false">WORKDAY($B$3,16,$J$5:$J$7)</f>
        <v>44466</v>
      </c>
      <c r="I23" s="1"/>
      <c r="J23" s="1"/>
    </row>
    <row r="24" customFormat="false" ht="13.5" hidden="false" customHeight="false" outlineLevel="0" collapsed="false">
      <c r="A24" s="1"/>
      <c r="B24" s="4" t="n">
        <f aca="false">IF($B$3+ROWS($B$7:$B24)-1&lt;=DATE(2021,9,30),$B$3+ROWS($B$7:$B24)-1,"")</f>
        <v>44457</v>
      </c>
      <c r="C24" s="1"/>
      <c r="D24" s="4" t="n">
        <f aca="false">IF($B$3+ROWS($D$7:D24)-1&lt;=DATE(2021,11,2),$B$3+ROWS($D$7:D24)-1,"")</f>
        <v>44457</v>
      </c>
      <c r="E24" s="1"/>
      <c r="F24" s="4" t="n">
        <f aca="false">IF($B$3+ROWS($F$7:F24)-1&lt;=DATE(2021,11,2),$B$3+ROWS($F$7:F24)-1,"")</f>
        <v>44457</v>
      </c>
      <c r="G24" s="1"/>
      <c r="H24" s="4" t="n">
        <f aca="false">WORKDAY($B$3,17,$J$5:$J$7)</f>
        <v>44467</v>
      </c>
      <c r="I24" s="1"/>
      <c r="J24" s="1"/>
    </row>
    <row r="25" customFormat="false" ht="13.5" hidden="false" customHeight="false" outlineLevel="0" collapsed="false">
      <c r="A25" s="1"/>
      <c r="B25" s="4" t="n">
        <f aca="false">IF($B$3+ROWS($B$7:$B25)-1&lt;=DATE(2021,9,30),$B$3+ROWS($B$7:$B25)-1,"")</f>
        <v>44458</v>
      </c>
      <c r="C25" s="1"/>
      <c r="D25" s="4" t="n">
        <f aca="false">IF($B$3+ROWS($D$7:D25)-1&lt;=DATE(2021,11,2),$B$3+ROWS($D$7:D25)-1,"")</f>
        <v>44458</v>
      </c>
      <c r="E25" s="1"/>
      <c r="F25" s="4" t="n">
        <f aca="false">IF($B$3+ROWS($F$7:F25)-1&lt;=DATE(2021,11,2),$B$3+ROWS($F$7:F25)-1,"")</f>
        <v>44458</v>
      </c>
      <c r="G25" s="1"/>
      <c r="H25" s="4" t="n">
        <f aca="false">WORKDAY($B$3,18,$J$5:$J$7)</f>
        <v>44468</v>
      </c>
      <c r="I25" s="1"/>
      <c r="J25" s="1"/>
    </row>
    <row r="26" customFormat="false" ht="13.5" hidden="false" customHeight="false" outlineLevel="0" collapsed="false">
      <c r="A26" s="1"/>
      <c r="B26" s="4" t="n">
        <f aca="false">IF($B$3+ROWS($B$7:$B26)-1&lt;=DATE(2021,9,30),$B$3+ROWS($B$7:$B26)-1,"")</f>
        <v>44459</v>
      </c>
      <c r="C26" s="1"/>
      <c r="D26" s="4" t="n">
        <f aca="false">IF($B$3+ROWS($D$7:D26)-1&lt;=DATE(2021,11,2),$B$3+ROWS($D$7:D26)-1,"")</f>
        <v>44459</v>
      </c>
      <c r="E26" s="1"/>
      <c r="F26" s="4" t="n">
        <f aca="false">IF($B$3+ROWS($F$7:F26)-1&lt;=DATE(2021,11,2),$B$3+ROWS($F$7:F26)-1,"")</f>
        <v>44459</v>
      </c>
      <c r="G26" s="1"/>
      <c r="H26" s="4" t="n">
        <f aca="false">WORKDAY($B$3,19,$J$5:$J$7)</f>
        <v>44469</v>
      </c>
      <c r="I26" s="1"/>
      <c r="J26" s="1"/>
    </row>
    <row r="27" customFormat="false" ht="13.5" hidden="false" customHeight="false" outlineLevel="0" collapsed="false">
      <c r="A27" s="1"/>
      <c r="B27" s="4" t="n">
        <f aca="false">IF($B$3+ROWS($B$7:$B27)-1&lt;=DATE(2021,9,30),$B$3+ROWS($B$7:$B27)-1,"")</f>
        <v>44460</v>
      </c>
      <c r="C27" s="1"/>
      <c r="D27" s="4" t="n">
        <f aca="false">IF($B$3+ROWS($D$7:D27)-1&lt;=DATE(2021,11,2),$B$3+ROWS($D$7:D27)-1,"")</f>
        <v>44460</v>
      </c>
      <c r="E27" s="1"/>
      <c r="F27" s="4" t="n">
        <f aca="false">IF($B$3+ROWS($F$7:F27)-1&lt;=DATE(2021,11,2),$B$3+ROWS($F$7:F27)-1,"")</f>
        <v>44460</v>
      </c>
      <c r="G27" s="1"/>
      <c r="H27" s="4" t="n">
        <f aca="false">WORKDAY($B$3,20,$J$5:$J$7)</f>
        <v>44473</v>
      </c>
      <c r="I27" s="1"/>
      <c r="J27" s="1"/>
    </row>
    <row r="28" customFormat="false" ht="13.5" hidden="false" customHeight="false" outlineLevel="0" collapsed="false">
      <c r="A28" s="1"/>
      <c r="B28" s="4" t="n">
        <f aca="false">IF($B$3+ROWS($B$7:$B28)-1&lt;=DATE(2021,9,30),$B$3+ROWS($B$7:$B28)-1,"")</f>
        <v>44461</v>
      </c>
      <c r="C28" s="1"/>
      <c r="D28" s="4" t="n">
        <f aca="false">IF($B$3+ROWS($D$7:D28)-1&lt;=DATE(2021,11,2),$B$3+ROWS($D$7:D28)-1,"")</f>
        <v>44461</v>
      </c>
      <c r="E28" s="1"/>
      <c r="F28" s="4" t="n">
        <f aca="false">IF($B$3+ROWS($F$7:F28)-1&lt;=DATE(2021,11,2),$B$3+ROWS($F$7:F28)-1,"")</f>
        <v>44461</v>
      </c>
      <c r="G28" s="1"/>
      <c r="H28" s="4" t="n">
        <f aca="false">WORKDAY($B$3,21,$J$5:$J$7)</f>
        <v>44474</v>
      </c>
      <c r="I28" s="1"/>
      <c r="J28" s="1"/>
    </row>
    <row r="29" customFormat="false" ht="13.5" hidden="false" customHeight="false" outlineLevel="0" collapsed="false">
      <c r="A29" s="1"/>
      <c r="B29" s="4" t="n">
        <f aca="false">IF($B$3+ROWS($B$7:$B29)-1&lt;=DATE(2021,9,30),$B$3+ROWS($B$7:$B29)-1,"")</f>
        <v>44462</v>
      </c>
      <c r="C29" s="1"/>
      <c r="D29" s="4" t="n">
        <f aca="false">IF($B$3+ROWS($D$7:D29)-1&lt;=DATE(2021,11,2),$B$3+ROWS($D$7:D29)-1,"")</f>
        <v>44462</v>
      </c>
      <c r="E29" s="1"/>
      <c r="F29" s="4" t="n">
        <f aca="false">IF($B$3+ROWS($F$7:F29)-1&lt;=DATE(2021,11,2),$B$3+ROWS($F$7:F29)-1,"")</f>
        <v>44462</v>
      </c>
      <c r="G29" s="1"/>
      <c r="H29" s="4" t="n">
        <f aca="false">WORKDAY($B$3,22,$J$5:$J$7)</f>
        <v>44475</v>
      </c>
      <c r="I29" s="1"/>
      <c r="J29" s="1"/>
    </row>
    <row r="30" customFormat="false" ht="13.5" hidden="false" customHeight="false" outlineLevel="0" collapsed="false">
      <c r="A30" s="1"/>
      <c r="B30" s="4" t="n">
        <f aca="false">IF($B$3+ROWS($B$7:$B30)-1&lt;=DATE(2021,9,30),$B$3+ROWS($B$7:$B30)-1,"")</f>
        <v>44463</v>
      </c>
      <c r="C30" s="1"/>
      <c r="D30" s="4" t="n">
        <f aca="false">IF($B$3+ROWS($D$7:D30)-1&lt;=DATE(2021,11,2),$B$3+ROWS($D$7:D30)-1,"")</f>
        <v>44463</v>
      </c>
      <c r="E30" s="1"/>
      <c r="F30" s="4" t="n">
        <f aca="false">IF($B$3+ROWS($F$7:F30)-1&lt;=DATE(2021,11,2),$B$3+ROWS($F$7:F30)-1,"")</f>
        <v>44463</v>
      </c>
      <c r="G30" s="1"/>
      <c r="H30" s="4" t="n">
        <f aca="false">WORKDAY($B$3,23,$J$5:$J$7)</f>
        <v>44476</v>
      </c>
      <c r="I30" s="1"/>
      <c r="J30" s="1"/>
    </row>
    <row r="31" customFormat="false" ht="13.5" hidden="false" customHeight="false" outlineLevel="0" collapsed="false">
      <c r="A31" s="1"/>
      <c r="B31" s="4" t="n">
        <f aca="false">IF($B$3+ROWS($B$7:$B31)-1&lt;=DATE(2021,9,30),$B$3+ROWS($B$7:$B31)-1,"")</f>
        <v>44464</v>
      </c>
      <c r="C31" s="1"/>
      <c r="D31" s="4" t="n">
        <f aca="false">IF($B$3+ROWS($D$7:D31)-1&lt;=DATE(2021,11,2),$B$3+ROWS($D$7:D31)-1,"")</f>
        <v>44464</v>
      </c>
      <c r="E31" s="1"/>
      <c r="F31" s="4" t="n">
        <f aca="false">IF($B$3+ROWS($F$7:F31)-1&lt;=DATE(2021,11,2),$B$3+ROWS($F$7:F31)-1,"")</f>
        <v>44464</v>
      </c>
      <c r="G31" s="1"/>
      <c r="H31" s="4" t="n">
        <f aca="false">WORKDAY($B$3,24,$J$5:$J$7)</f>
        <v>44477</v>
      </c>
      <c r="I31" s="1"/>
      <c r="J31" s="1"/>
    </row>
    <row r="32" customFormat="false" ht="13.5" hidden="false" customHeight="false" outlineLevel="0" collapsed="false">
      <c r="A32" s="1"/>
      <c r="B32" s="4" t="n">
        <f aca="false">IF($B$3+ROWS($B$7:$B32)-1&lt;=DATE(2021,9,30),$B$3+ROWS($B$7:$B32)-1,"")</f>
        <v>44465</v>
      </c>
      <c r="C32" s="1"/>
      <c r="D32" s="4" t="n">
        <f aca="false">IF($B$3+ROWS($D$7:D32)-1&lt;=DATE(2021,11,2),$B$3+ROWS($D$7:D32)-1,"")</f>
        <v>44465</v>
      </c>
      <c r="E32" s="1"/>
      <c r="F32" s="4" t="n">
        <f aca="false">IF($B$3+ROWS($F$7:F32)-1&lt;=DATE(2021,11,2),$B$3+ROWS($F$7:F32)-1,"")</f>
        <v>44465</v>
      </c>
      <c r="G32" s="1"/>
      <c r="H32" s="4" t="n">
        <f aca="false">WORKDAY($B$3,25,$J$5:$J$7)</f>
        <v>44480</v>
      </c>
      <c r="I32" s="1"/>
      <c r="J32" s="1"/>
    </row>
    <row r="33" customFormat="false" ht="13.5" hidden="false" customHeight="false" outlineLevel="0" collapsed="false">
      <c r="A33" s="1"/>
      <c r="B33" s="4" t="n">
        <f aca="false">IF($B$3+ROWS($B$7:$B33)-1&lt;=DATE(2021,9,30),$B$3+ROWS($B$7:$B33)-1,"")</f>
        <v>44466</v>
      </c>
      <c r="C33" s="1"/>
      <c r="D33" s="4" t="n">
        <f aca="false">IF($B$3+ROWS($D$7:D33)-1&lt;=DATE(2021,11,2),$B$3+ROWS($D$7:D33)-1,"")</f>
        <v>44466</v>
      </c>
      <c r="E33" s="1"/>
      <c r="F33" s="4" t="n">
        <f aca="false">IF($B$3+ROWS($F$7:F33)-1&lt;=DATE(2021,11,2),$B$3+ROWS($F$7:F33)-1,"")</f>
        <v>44466</v>
      </c>
      <c r="G33" s="1"/>
      <c r="H33" s="4" t="n">
        <f aca="false">WORKDAY($B$3,26,$J$5:$J$7)</f>
        <v>44481</v>
      </c>
      <c r="I33" s="1"/>
      <c r="J33" s="1"/>
    </row>
    <row r="34" customFormat="false" ht="13.5" hidden="false" customHeight="false" outlineLevel="0" collapsed="false">
      <c r="A34" s="1"/>
      <c r="B34" s="4" t="n">
        <f aca="false">IF($B$3+ROWS($B$7:$B34)-1&lt;=DATE(2021,9,30),$B$3+ROWS($B$7:$B34)-1,"")</f>
        <v>44467</v>
      </c>
      <c r="C34" s="1"/>
      <c r="D34" s="4" t="n">
        <f aca="false">IF($B$3+ROWS($D$7:D34)-1&lt;=DATE(2021,11,2),$B$3+ROWS($D$7:D34)-1,"")</f>
        <v>44467</v>
      </c>
      <c r="E34" s="1"/>
      <c r="F34" s="4" t="n">
        <f aca="false">IF($B$3+ROWS($F$7:F34)-1&lt;=DATE(2021,11,2),$B$3+ROWS($F$7:F34)-1,"")</f>
        <v>44467</v>
      </c>
      <c r="G34" s="1"/>
      <c r="H34" s="4" t="n">
        <f aca="false">WORKDAY($B$3,27,$J$5:$J$7)</f>
        <v>44482</v>
      </c>
      <c r="I34" s="1"/>
      <c r="J34" s="1"/>
    </row>
    <row r="35" customFormat="false" ht="13.5" hidden="false" customHeight="false" outlineLevel="0" collapsed="false">
      <c r="A35" s="1"/>
      <c r="B35" s="4" t="n">
        <f aca="false">IF($B$3+ROWS($B$7:$B35)-1&lt;=DATE(2021,9,30),$B$3+ROWS($B$7:$B35)-1,"")</f>
        <v>44468</v>
      </c>
      <c r="C35" s="1"/>
      <c r="D35" s="4" t="n">
        <f aca="false">IF($B$3+ROWS($D$7:D35)-1&lt;=DATE(2021,11,2),$B$3+ROWS($D$7:D35)-1,"")</f>
        <v>44468</v>
      </c>
      <c r="E35" s="1"/>
      <c r="F35" s="4" t="n">
        <f aca="false">IF($B$3+ROWS($F$7:F35)-1&lt;=DATE(2021,11,2),$B$3+ROWS($F$7:F35)-1,"")</f>
        <v>44468</v>
      </c>
      <c r="G35" s="1"/>
      <c r="H35" s="4" t="n">
        <f aca="false">WORKDAY($B$3,28,$J$5:$J$7)</f>
        <v>44483</v>
      </c>
      <c r="I35" s="1"/>
      <c r="J35" s="1"/>
    </row>
    <row r="36" customFormat="false" ht="13.5" hidden="false" customHeight="false" outlineLevel="0" collapsed="false">
      <c r="A36" s="1"/>
      <c r="B36" s="4" t="n">
        <f aca="false">IF($B$3+ROWS($B$7:$B36)-1&lt;=DATE(2021,9,30),$B$3+ROWS($B$7:$B36)-1,"")</f>
        <v>44469</v>
      </c>
      <c r="C36" s="1"/>
      <c r="D36" s="4" t="n">
        <f aca="false">IF($B$3+ROWS($D$7:D36)-1&lt;=DATE(2021,11,2),$B$3+ROWS($D$7:D36)-1,"")</f>
        <v>44469</v>
      </c>
      <c r="E36" s="1"/>
      <c r="F36" s="4" t="n">
        <f aca="false">IF($B$3+ROWS($F$7:F36)-1&lt;=DATE(2021,11,2),$B$3+ROWS($F$7:F36)-1,"")</f>
        <v>44469</v>
      </c>
      <c r="G36" s="1"/>
      <c r="H36" s="4" t="n">
        <f aca="false">WORKDAY($B$3,29,$J$5:$J$7)</f>
        <v>44484</v>
      </c>
      <c r="I36" s="1"/>
      <c r="J36" s="1"/>
    </row>
    <row r="37" customFormat="false" ht="13.5" hidden="false" customHeight="false" outlineLevel="0" collapsed="false">
      <c r="A37" s="1"/>
      <c r="B37" s="4"/>
      <c r="C37" s="1"/>
      <c r="D37" s="4" t="n">
        <f aca="false">IF($B$3+ROWS($D$7:D37)-1&lt;=DATE(2021,11,2),$B$3+ROWS($D$7:D37)-1,"")</f>
        <v>44470</v>
      </c>
      <c r="E37" s="1"/>
      <c r="F37" s="4" t="n">
        <f aca="false">IF($B$3+ROWS($F$7:F37)-1&lt;=DATE(2021,11,2),$B$3+ROWS($F$7:F37)-1,"")</f>
        <v>44470</v>
      </c>
      <c r="G37" s="1"/>
      <c r="H37" s="4" t="n">
        <f aca="false">WORKDAY($B$3,30,$J$5:$J$7)</f>
        <v>44487</v>
      </c>
      <c r="I37" s="1"/>
      <c r="J37" s="1"/>
    </row>
    <row r="38" customFormat="false" ht="13.5" hidden="false" customHeight="false" outlineLevel="0" collapsed="false">
      <c r="A38" s="1"/>
      <c r="B38" s="5"/>
      <c r="C38" s="1"/>
      <c r="D38" s="4" t="n">
        <f aca="false">IF($B$3+ROWS($D$7:D38)-1&lt;=DATE(2021,11,2),$B$3+ROWS($D$7:D38)-1,"")</f>
        <v>44471</v>
      </c>
      <c r="E38" s="1"/>
      <c r="F38" s="4" t="n">
        <f aca="false">IF($B$3+ROWS($F$7:F38)-1&lt;=DATE(2021,11,2),$B$3+ROWS($F$7:F38)-1,"")</f>
        <v>44471</v>
      </c>
      <c r="G38" s="1"/>
      <c r="H38" s="4" t="n">
        <f aca="false">WORKDAY($B$3,31,$J$5:$J$7)</f>
        <v>44488</v>
      </c>
      <c r="I38" s="1"/>
      <c r="J3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2018-11-01T07:39:00Z</dcterms:created>
  <dc:creator>Windows User</dc:creator>
  <dc:description/>
  <dc:language>zh-CN</dc:language>
  <cp:lastModifiedBy>917956131</cp:lastModifiedBy>
  <dcterms:modified xsi:type="dcterms:W3CDTF">2026-06-20T06:51:49Z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4A0080520A82413BB89124C54C9D970D_12</vt:lpwstr>
  </property>
  <property fmtid="{D5CDD505-2E9C-101B-9397-08002B2CF9AE}" pid="3" name="KSOProductBuildVer">
    <vt:lpwstr>2052-12.1.0.16729</vt:lpwstr>
  </property>
</Properties>
</file>