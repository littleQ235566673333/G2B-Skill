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li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<sst xmlns="http://schemas.openxmlformats.org/spreadsheetml/2006/main" count="40" uniqueCount="23">
  <si>
    <t xml:space="preserve">Name</t>
  </si>
  <si>
    <t xml:space="preserve">Activity 1</t>
  </si>
  <si>
    <t xml:space="preserve">Activity 1
Date</t>
  </si>
  <si>
    <t xml:space="preserve">Activity 2</t>
  </si>
  <si>
    <t xml:space="preserve">Activity 2
Date</t>
  </si>
  <si>
    <t xml:space="preserve">Activity 3</t>
  </si>
  <si>
    <t xml:space="preserve">Activity 3
Date</t>
  </si>
  <si>
    <t xml:space="preserve">Activity 4</t>
  </si>
  <si>
    <t xml:space="preserve">Activity 4
Date</t>
  </si>
  <si>
    <t xml:space="preserve">Earliest
Date 
Attended</t>
  </si>
  <si>
    <t xml:space="preserve">Earliest Activity Attended</t>
  </si>
  <si>
    <t xml:space="preserve">Mr A</t>
  </si>
  <si>
    <t xml:space="preserve">15/08/2004 - Electrical - Venus</t>
  </si>
  <si>
    <t xml:space="preserve">11/05/1999 -WoodWork - Saturn</t>
  </si>
  <si>
    <t xml:space="preserve">16/01/2009 - Plumbing - Pluto</t>
  </si>
  <si>
    <t xml:space="preserve">Mr B</t>
  </si>
  <si>
    <t xml:space="preserve">Miss D</t>
  </si>
  <si>
    <t xml:space="preserve">17/12/2008 - Basket Weaving - Mars</t>
  </si>
  <si>
    <t xml:space="preserve">18/04/2018 - Electrical - Earth</t>
  </si>
  <si>
    <t xml:space="preserve">Mrs E</t>
  </si>
  <si>
    <t xml:space="preserve">24/09/2021 - Plumbing - Venus</t>
  </si>
  <si>
    <t xml:space="preserve">Mrs F</t>
  </si>
  <si>
    <t xml:space="preserve">Activity ID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</si>
</sst>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;@"/>
    <numFmt numFmtId="166" formatCode="dd/mm/yy;;;"/>
    <numFmt numFmtId="167" formatCode="yyyy\-m\-d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  <font>
      <sz val="9"/>
      <color theme="1"/>
      <name val="等线"/>
      <family val="0"/>
      <charset val="134"/>
    </font>
  </fonts>
  <fills count="5">
    <fill>
      <patternFill patternType="none"/>
    </fill>
    <fill>
      <patternFill patternType="gray125"/>
    </fill>
    <fill>
      <patternFill patternType="solid">
        <fgColor theme="9" tint="0.7999"/>
        <bgColor rgb="FFFFFFCC"/>
      </patternFill>
    </fill>
    <fill>
      <patternFill patternType="solid">
        <fgColor theme="9" tint="0.5999"/>
        <bgColor rgb="FFE2F0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K2" activeCellId="0" sqref="K2"/>
    </sheetView>
  </sheetViews>
  <sheetFormatPr defaultColWidth="8.8828125" defaultRowHeight="13.5" customHeight="false" zeroHeight="false" outlineLevelRow="0" outlineLevelCol="0"/>
  <cols>
    <col collapsed="false" customWidth="true" hidden="false" outlineLevel="0" max="1" min="1" style="1" width="20.78"/>
    <col collapsed="false" customWidth="true" hidden="false" outlineLevel="0" max="2" min="2" style="2" width="25.34"/>
    <col collapsed="false" customWidth="true" hidden="false" outlineLevel="0" max="3" min="3" style="2" width="10.22"/>
    <col collapsed="false" customWidth="true" hidden="false" outlineLevel="0" max="4" min="4" style="2" width="25.34"/>
    <col collapsed="false" customWidth="true" hidden="false" outlineLevel="0" max="5" min="5" style="2" width="10.22"/>
    <col collapsed="false" customWidth="true" hidden="false" outlineLevel="0" max="6" min="6" style="2" width="25.34"/>
    <col collapsed="false" customWidth="true" hidden="false" outlineLevel="0" max="7" min="7" style="2" width="10.22"/>
    <col collapsed="false" customWidth="true" hidden="false" outlineLevel="0" max="8" min="8" style="2" width="25.34"/>
    <col collapsed="false" customWidth="true" hidden="false" outlineLevel="0" max="9" min="9" style="2" width="10.22"/>
    <col collapsed="false" customWidth="true" hidden="false" outlineLevel="0" max="10" min="10" style="1" width="10.44"/>
    <col collapsed="false" customWidth="true" hidden="false" outlineLevel="0" max="11" min="11" style="1" width="31.22"/>
    <col collapsed="false" customWidth="false" hidden="false" outlineLevel="0" max="16384" min="12" style="1" width="8.88"/>
  </cols>
  <sheetData>
    <row r="1" s="9" customFormat="true" ht="42" hidden="false" customHeight="true" outlineLevel="0" collapsed="false">
      <c r="A1" s="3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3" t="s">
        <v>10</v>
      </c>
    </row>
    <row r="2" customFormat="false" ht="13.5" hidden="false" customHeight="false" outlineLevel="0" collapsed="false">
      <c r="A2" s="10" t="s">
        <v>11</v>
      </c>
      <c r="B2" s="11" t="s">
        <v>12</v>
      </c>
      <c r="C2" s="12" t="str">
        <f aca="false">IFERROR(VALUE(REPLACE(B2,11,500,"")),"")</f>
        <v/>
      </c>
      <c r="D2" s="13" t="s">
        <v>13</v>
      </c>
      <c r="E2" s="14" t="str">
        <f aca="false">IFERROR(VALUE(REPLACE(D2,11,500,"")),"")</f>
        <v/>
      </c>
      <c r="F2" s="11" t="s">
        <v>14</v>
      </c>
      <c r="G2" s="12" t="str">
        <f aca="false">IFERROR(VALUE(REPLACE(F2,11,500,"")),"")</f>
        <v/>
      </c>
      <c r="H2" s="13"/>
      <c r="I2" s="14" t="str">
        <f aca="false">IFERROR(VALUE(REPLACE(H2,11,500,"")),"")</f>
        <v/>
      </c>
      <c r="J2" s="15" t="n">
        <f aca="false">VALUE(MIN(C2,E2,G2,I2))</f>
        <v>0</v>
      </c>
      <c r="K2" s="16" t="s">
        <v>1</v>
      </c>
    </row>
    <row r="3" customFormat="false" ht="13.5" hidden="false" customHeight="false" outlineLevel="0" collapsed="false">
      <c r="A3" s="10" t="s">
        <v>15</v>
      </c>
      <c r="B3" s="11" t="s">
        <v>14</v>
      </c>
      <c r="C3" s="12" t="str">
        <f aca="false">IFERROR(VALUE(REPLACE(B3,11,500,"")),"")</f>
        <v/>
      </c>
      <c r="D3" s="13"/>
      <c r="E3" s="14" t="str">
        <f aca="false">IFERROR(VALUE(REPLACE(D3,11,500,"")),"")</f>
        <v/>
      </c>
      <c r="F3" s="11"/>
      <c r="G3" s="12" t="str">
        <f aca="false">IFERROR(VALUE(REPLACE(F3,11,500,"")),"")</f>
        <v/>
      </c>
      <c r="H3" s="13"/>
      <c r="I3" s="14" t="str">
        <f aca="false">IFERROR(VALUE(REPLACE(H3,11,500,"")),"")</f>
        <v/>
      </c>
      <c r="J3" s="15" t="n">
        <f aca="false">VALUE(MIN(C3,E3,G3,I3))</f>
        <v>0</v>
      </c>
      <c r="K3" s="16" t="s">
        <v>1</v>
      </c>
    </row>
    <row r="4" customFormat="false" ht="13.5" hidden="false" customHeight="false" outlineLevel="0" collapsed="false">
      <c r="A4" s="10" t="s">
        <v>16</v>
      </c>
      <c r="B4" s="11" t="s">
        <v>17</v>
      </c>
      <c r="C4" s="12" t="str">
        <f aca="false">IFERROR(VALUE(REPLACE(B4,11,500,"")),"")</f>
        <v/>
      </c>
      <c r="D4" s="13" t="s">
        <v>18</v>
      </c>
      <c r="E4" s="14" t="str">
        <f aca="false">IFERROR(VALUE(REPLACE(D4,11,500,"")),"")</f>
        <v/>
      </c>
      <c r="F4" s="11"/>
      <c r="G4" s="12" t="str">
        <f aca="false">IFERROR(VALUE(REPLACE(F4,11,500,"")),"")</f>
        <v/>
      </c>
      <c r="H4" s="13"/>
      <c r="I4" s="14" t="str">
        <f aca="false">IFERROR(VALUE(REPLACE(H4,11,500,"")),"")</f>
        <v/>
      </c>
      <c r="J4" s="15" t="n">
        <f aca="false">VALUE(MIN(C4,E4,G4,I4))</f>
        <v>0</v>
      </c>
      <c r="K4" s="16" t="s">
        <v>1</v>
      </c>
    </row>
    <row r="5" customFormat="false" ht="13.5" hidden="false" customHeight="false" outlineLevel="0" collapsed="false">
      <c r="A5" s="10" t="s">
        <v>19</v>
      </c>
      <c r="B5" s="11" t="s">
        <v>18</v>
      </c>
      <c r="C5" s="12" t="str">
        <f aca="false">IFERROR(VALUE(REPLACE(B5,11,500,"")),"")</f>
        <v/>
      </c>
      <c r="D5" s="13" t="s">
        <v>17</v>
      </c>
      <c r="E5" s="14" t="str">
        <f aca="false">IFERROR(VALUE(REPLACE(D5,11,500,"")),"")</f>
        <v/>
      </c>
      <c r="F5" s="11" t="s">
        <v>20</v>
      </c>
      <c r="G5" s="12" t="str">
        <f aca="false">IFERROR(VALUE(REPLACE(F5,11,500,"")),"")</f>
        <v/>
      </c>
      <c r="H5" s="13" t="s">
        <v>14</v>
      </c>
      <c r="I5" s="14" t="str">
        <f aca="false">IFERROR(VALUE(REPLACE(H5,11,500,"")),"")</f>
        <v/>
      </c>
      <c r="J5" s="15" t="n">
        <f aca="false">VALUE(MIN(C5,E5,G5,I5))</f>
        <v>0</v>
      </c>
      <c r="K5" s="16" t="s">
        <v>3</v>
      </c>
    </row>
    <row r="6" customFormat="false" ht="13.5" hidden="false" customHeight="false" outlineLevel="0" collapsed="false">
      <c r="A6" s="10" t="s">
        <v>21</v>
      </c>
      <c r="B6" s="11" t="s">
        <v>13</v>
      </c>
      <c r="C6" s="12" t="str">
        <f aca="false">IFERROR(VALUE(REPLACE(B6,11,500,"")),"")</f>
        <v/>
      </c>
      <c r="D6" s="13" t="s">
        <v>12</v>
      </c>
      <c r="E6" s="14" t="str">
        <f aca="false">IFERROR(VALUE(REPLACE(D6,11,500,"")),"")</f>
        <v/>
      </c>
      <c r="F6" s="11"/>
      <c r="G6" s="12" t="str">
        <f aca="false">IFERROR(VALUE(REPLACE(F6,11,500,"")),"")</f>
        <v/>
      </c>
      <c r="H6" s="13"/>
      <c r="I6" s="14" t="str">
        <f aca="false">IFERROR(VALUE(REPLACE(H6,11,500,"")),"")</f>
        <v/>
      </c>
      <c r="J6" s="15" t="n">
        <f aca="false">VALUE(MIN(C6,E6,G6,I6))</f>
        <v>0</v>
      </c>
      <c r="K6" s="16" t="s">
        <v>3</v>
      </c>
    </row>
  </sheetData>
  <dataValidations count="1">
    <dataValidation allowBlank="true" errorStyle="stop" operator="between" showDropDown="false" showErrorMessage="true" showInputMessage="true" sqref="B2:B6 D2:D6 F2:F6 H2:H6" type="list">
      <formula1>list!$A$2:$A$7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50.66"/>
  </cols>
  <sheetData>
    <row r="1" customFormat="false" ht="13.5" hidden="false" customHeight="false" outlineLevel="0" collapsed="false">
      <c r="A1" s="17" t="s">
        <v>22</v>
      </c>
    </row>
    <row r="2" customFormat="false" ht="13.5" hidden="false" customHeight="false" outlineLevel="0" collapsed="false">
      <c r="A2" s="18" t="s">
        <v>13</v>
      </c>
    </row>
    <row r="3" customFormat="false" ht="13.5" hidden="false" customHeight="false" outlineLevel="0" collapsed="false">
      <c r="A3" s="18" t="s">
        <v>12</v>
      </c>
    </row>
    <row r="4" customFormat="false" ht="13.5" hidden="false" customHeight="false" outlineLevel="0" collapsed="false">
      <c r="A4" s="18" t="s">
        <v>17</v>
      </c>
    </row>
    <row r="5" customFormat="false" ht="13.5" hidden="false" customHeight="false" outlineLevel="0" collapsed="false">
      <c r="A5" s="18" t="s">
        <v>20</v>
      </c>
    </row>
    <row r="6" customFormat="false" ht="13.5" hidden="false" customHeight="false" outlineLevel="0" collapsed="false">
      <c r="A6" s="18" t="s">
        <v>18</v>
      </c>
    </row>
    <row r="7" customFormat="false" ht="13.5" hidden="false" customHeight="false" outlineLevel="0" collapsed="false">
      <c r="A7" s="18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2023-10-24T18:42:00Z</dcterms:created>
  <dc:creator>John Damen</dc:creator>
  <dc:description/>
  <dc:language>zh-CN</dc:language>
  <cp:lastModifiedBy>。。。</cp:lastModifiedBy>
  <dcterms:modified xsi:type="dcterms:W3CDTF">2026-06-20T06:51:22Z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7B1F9ECD115742999F13F2444DFB85B6_13</vt:lpwstr>
  </property>
  <property fmtid="{D5CDD505-2E9C-101B-9397-08002B2CF9AE}" pid="3" name="KSOProductBuildVer">
    <vt:lpwstr>2052-12.1.0.16729</vt:lpwstr>
  </property>
</Properties>
</file>